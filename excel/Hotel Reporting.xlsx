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a1edb7f43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11e51ea67c14dec"/>
    <x:sheet xmlns:r="http://schemas.openxmlformats.org/officeDocument/2006/relationships" name="Monthly source" sheetId="2" r:id="R0cca6fcfcd0646cd"/>
    <x:sheet xmlns:r="http://schemas.openxmlformats.org/officeDocument/2006/relationships" name="Definitions" sheetId="3" r:id="R297b2192407c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5"/>
      <x:color rgb="FF243247"/>
      <x:name val="Arial"/>
    </x:font>
    <x:font>
      <x:b/>
      <x:sz val="14"/>
      <x:color rgb="FF243247"/>
      <x:name val="Arial"/>
    </x:font>
    <x:font>
      <x:i/>
      <x:sz val="10"/>
      <x:color rgb="FF59657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FF0B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6f9db05a24e6c" /><Relationship Type="http://schemas.openxmlformats.org/officeDocument/2006/relationships/theme" Target="/xl/theme/theme1.xml" Id="Rab3f7a04a3ff440e" /><Relationship Type="http://schemas.openxmlformats.org/officeDocument/2006/relationships/sharedStrings" Target="/xl/sharedStrings.xml" Id="R482522903a184479" /><Relationship Type="http://schemas.openxmlformats.org/officeDocument/2006/relationships/worksheet" Target="/xl/worksheets/sheet1.xml" Id="Re11e51ea67c14dec" /><Relationship Type="http://schemas.openxmlformats.org/officeDocument/2006/relationships/worksheet" Target="/xl/worksheets/sheet2.xml" Id="R0cca6fcfcd0646cd" /><Relationship Type="http://schemas.openxmlformats.org/officeDocument/2006/relationships/worksheet" Target="/xl/worksheets/sheet3.xml" Id="R297b2192407c49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a1d93ab75d4b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Bookings by arrival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Bookings</c:v>
          </c:tx>
          <c:spPr>
            <a:ln xmlns:a="http://schemas.openxmlformats.org/drawingml/2006/main" w="19050">
              <a:solidFill>
                <a:srgbClr val="326D9C"/>
              </a:solidFill>
              <a:prstDash val="solid"/>
            </a:ln>
          </c:spPr>
          <c:marker>
            <c:symbol val="none"/>
          </c:marker>
          <c:cat>
            <c:strRef>
              <c:f>'Report'!$B$12:$B$23</c:f>
              <c:strCache>
                <c:ptCount val="0"/>
              </c:strCache>
            </c:strRef>
          </c:cat>
          <c:val>
            <c:numRef>
              <c:f>'Report'!$C$12:$C$23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a1d93ab75d4b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ource" displayName="MonthlySource" ref="A1:H177" headerRowCount="1" totalsRowCount="0" totalsRowShown="0">
  <x:tableColumns count="8">
    <x:tableColumn id="1" name="Year"/>
    <x:tableColumn id="2" name="Month"/>
    <x:tableColumn id="3" name="Hotel"/>
    <x:tableColumn id="4" name="Channel"/>
    <x:tableColumn id="5" name="Bookings"/>
    <x:tableColumn id="6" name="Canceled flag"/>
    <x:tableColumn id="7" name="Checked out"/>
    <x:tableColumn id="8" name="No sho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a6613da28848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0777ab69ff4b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9" hidden="0" customWidth="1"/>
    <x:col min="4" max="4" width="19" hidden="0" customWidth="1"/>
    <x:col min="5" max="5" width="19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6" t="str">
        <x:v>Hotel bookings | arrival-date report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 t="str">
        <x:v>Arrival year</x:v>
      </x:c>
      <x:c r="C4" s="7" t="n">
        <x:v>2016</x:v>
      </x:c>
      <x:c r="D4" s="1"/>
      <x:c r="E4" s="1" t="str">
        <x:v>Hotel</x:v>
      </x:c>
      <x:c r="F4" s="7" t="str">
        <x:v>City Hotel</x:v>
      </x:c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3" t="str">
        <x:v>Bookings</x:v>
      </x:c>
      <x:c r="C6" s="3" t="str">
        <x:v>Canceled flag</x:v>
      </x:c>
      <x:c r="D6" s="3" t="str">
        <x:v>Cancellation rate</x:v>
      </x:c>
      <x:c r="E6" s="3" t="str">
        <x:v>Checked out</x:v>
      </x:c>
      <x:c r="F6" s="3" t="str">
        <x:v>No shows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9" t="n">
        <x:f>SUMIFS('Monthly source'!$E$2:$E$177,'Monthly source'!$A$2:$A$177,$C$4,'Monthly source'!$C$2:$C$177,$F$4)</x:f>
        <x:v>38140</x:v>
      </x:c>
      <x:c r="C7" s="9" t="n">
        <x:f>SUMIFS('Monthly source'!$F$2:$F$177,'Monthly source'!$A$2:$A$177,$C$4,'Monthly source'!$C$2:$C$177,$F$4)</x:f>
        <x:v>15407</x:v>
      </x:c>
      <x:c r="D7" s="10" t="n">
        <x:f>IF(B7=0,"n.a.",C7/B7)</x:f>
        <x:v>0.40395909805977975</x:v>
      </x:c>
      <x:c r="E7" s="9" t="n">
        <x:f>SUMIFS('Monthly source'!$G$2:$G$177,'Monthly source'!$A$2:$A$177,$C$4,'Monthly source'!$C$2:$C$177,$F$4)</x:f>
        <x:v>22733</x:v>
      </x:c>
      <x:c r="F7" s="9" t="n">
        <x:f>SUMIFS('Monthly source'!$H$2:$H$177,'Monthly source'!$A$2:$A$177,$C$4,'Monthly source'!$C$2:$C$177,$F$4)</x:f>
        <x:v>555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1" t="str">
        <x:v>2015 covers July-Dec; 2017 covers Jan-Aug. Compare matching months.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3" t="str">
        <x:v>Arrival month</x:v>
      </x:c>
      <x:c r="C11" s="3" t="str">
        <x:v>Bookings</x:v>
      </x:c>
      <x:c r="D11" s="3" t="str">
        <x:v>Canceled flag</x:v>
      </x:c>
      <x:c r="E11" s="3" t="str">
        <x:v>Cancellation rate</x:v>
      </x:c>
      <x:c r="F11" s="3" t="str">
        <x:v>Coverage</x:v>
      </x:c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 t="str">
        <x:v>Jan</x:v>
      </x:c>
      <x:c r="C12" s="4" t="n">
        <x:f>IF(COUNTIFS('Monthly source'!$B$2:$B$177,$C$4&amp;"-01",'Monthly source'!$C$2:$C$177,$F$4)=0,"n.a.",SUMIFS('Monthly source'!$E$2:$E$177,'Monthly source'!$B$2:$B$177,$C$4&amp;"-01",'Monthly source'!$C$2:$C$177,$F$4))</x:f>
        <x:v>1364</x:v>
      </x:c>
      <x:c r="D12" s="4" t="n">
        <x:f>IF(COUNTIFS('Monthly source'!$B$2:$B$177,$C$4&amp;"-01",'Monthly source'!$C$2:$C$177,$F$4)=0,"n.a.",SUMIFS('Monthly source'!$F$2:$F$177,'Monthly source'!$B$2:$B$177,$C$4&amp;"-01",'Monthly source'!$C$2:$C$177,$F$4))</x:f>
        <x:v>438</x:v>
      </x:c>
      <x:c r="E12" s="12" t="n">
        <x:f>IF(ISNUMBER(C12),D12/C12,"n.a.")</x:f>
        <x:v>0.32111436950146627</x:v>
      </x:c>
      <x:c r="F12" s="1" t="str">
        <x:f>IF(COUNTIFS('Monthly source'!$B$2:$B$177,$C$4&amp;"-01",'Monthly source'!$C$2:$C$177,$F$4)=0,"Outside snapshot","Observed")</x:f>
        <x:v>Observed</x:v>
      </x:c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 t="str">
        <x:v>Feb</x:v>
      </x:c>
      <x:c r="C13" s="4" t="n">
        <x:f>IF(COUNTIFS('Monthly source'!$B$2:$B$177,$C$4&amp;"-02",'Monthly source'!$C$2:$C$177,$F$4)=0,"n.a.",SUMIFS('Monthly source'!$E$2:$E$177,'Monthly source'!$B$2:$B$177,$C$4&amp;"-02",'Monthly source'!$C$2:$C$177,$F$4))</x:f>
        <x:v>2371</x:v>
      </x:c>
      <x:c r="D13" s="4" t="n">
        <x:f>IF(COUNTIFS('Monthly source'!$B$2:$B$177,$C$4&amp;"-02",'Monthly source'!$C$2:$C$177,$F$4)=0,"n.a.",SUMIFS('Monthly source'!$F$2:$F$177,'Monthly source'!$B$2:$B$177,$C$4&amp;"-02",'Monthly source'!$C$2:$C$177,$F$4))</x:f>
        <x:v>930</x:v>
      </x:c>
      <x:c r="E13" s="12" t="n">
        <x:f>IF(ISNUMBER(C13),D13/C13,"n.a.")</x:f>
        <x:v>0.392239561366512</x:v>
      </x:c>
      <x:c r="F13" s="1" t="str">
        <x:f>IF(COUNTIFS('Monthly source'!$B$2:$B$177,$C$4&amp;"-02",'Monthly source'!$C$2:$C$177,$F$4)=0,"Outside snapshot","Observed")</x:f>
        <x:v>Observed</x:v>
      </x:c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 t="str">
        <x:v>Mar</x:v>
      </x:c>
      <x:c r="C14" s="4" t="n">
        <x:f>IF(COUNTIFS('Monthly source'!$B$2:$B$177,$C$4&amp;"-03",'Monthly source'!$C$2:$C$177,$F$4)=0,"n.a.",SUMIFS('Monthly source'!$E$2:$E$177,'Monthly source'!$B$2:$B$177,$C$4&amp;"-03",'Monthly source'!$C$2:$C$177,$F$4))</x:f>
        <x:v>3046</x:v>
      </x:c>
      <x:c r="D14" s="4" t="n">
        <x:f>IF(COUNTIFS('Monthly source'!$B$2:$B$177,$C$4&amp;"-03",'Monthly source'!$C$2:$C$177,$F$4)=0,"n.a.",SUMIFS('Monthly source'!$F$2:$F$177,'Monthly source'!$B$2:$B$177,$C$4&amp;"-03",'Monthly source'!$C$2:$C$177,$F$4))</x:f>
        <x:v>1108</x:v>
      </x:c>
      <x:c r="E14" s="12" t="n">
        <x:f>IF(ISNUMBER(C14),D14/C14,"n.a.")</x:f>
        <x:v>0.3637557452396586</x:v>
      </x:c>
      <x:c r="F14" s="1" t="str">
        <x:f>IF(COUNTIFS('Monthly source'!$B$2:$B$177,$C$4&amp;"-03",'Monthly source'!$C$2:$C$177,$F$4)=0,"Outside snapshot","Observed")</x:f>
        <x:v>Observed</x:v>
      </x:c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 t="str">
        <x:v>Apr</x:v>
      </x:c>
      <x:c r="C15" s="4" t="n">
        <x:f>IF(COUNTIFS('Monthly source'!$B$2:$B$177,$C$4&amp;"-04",'Monthly source'!$C$2:$C$177,$F$4)=0,"n.a.",SUMIFS('Monthly source'!$E$2:$E$177,'Monthly source'!$B$2:$B$177,$C$4&amp;"-04",'Monthly source'!$C$2:$C$177,$F$4))</x:f>
        <x:v>3561</x:v>
      </x:c>
      <x:c r="D15" s="4" t="n">
        <x:f>IF(COUNTIFS('Monthly source'!$B$2:$B$177,$C$4&amp;"-04",'Monthly source'!$C$2:$C$177,$F$4)=0,"n.a.",SUMIFS('Monthly source'!$F$2:$F$177,'Monthly source'!$B$2:$B$177,$C$4&amp;"-04",'Monthly source'!$C$2:$C$177,$F$4))</x:f>
        <x:v>1539</x:v>
      </x:c>
      <x:c r="E15" s="12" t="n">
        <x:f>IF(ISNUMBER(C15),D15/C15,"n.a.")</x:f>
        <x:v>0.43218197135636055</x:v>
      </x:c>
      <x:c r="F15" s="1" t="str">
        <x:f>IF(COUNTIFS('Monthly source'!$B$2:$B$177,$C$4&amp;"-04",'Monthly source'!$C$2:$C$177,$F$4)=0,"Outside snapshot","Observed")</x:f>
        <x:v>Observed</x:v>
      </x:c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 t="str">
        <x:v>May</x:v>
      </x:c>
      <x:c r="C16" s="4" t="n">
        <x:f>IF(COUNTIFS('Monthly source'!$B$2:$B$177,$C$4&amp;"-05",'Monthly source'!$C$2:$C$177,$F$4)=0,"n.a.",SUMIFS('Monthly source'!$E$2:$E$177,'Monthly source'!$B$2:$B$177,$C$4&amp;"-05",'Monthly source'!$C$2:$C$177,$F$4))</x:f>
        <x:v>3676</x:v>
      </x:c>
      <x:c r="D16" s="4" t="n">
        <x:f>IF(COUNTIFS('Monthly source'!$B$2:$B$177,$C$4&amp;"-05",'Monthly source'!$C$2:$C$177,$F$4)=0,"n.a.",SUMIFS('Monthly source'!$F$2:$F$177,'Monthly source'!$B$2:$B$177,$C$4&amp;"-05",'Monthly source'!$C$2:$C$177,$F$4))</x:f>
        <x:v>1436</x:v>
      </x:c>
      <x:c r="E16" s="12" t="n">
        <x:f>IF(ISNUMBER(C16),D16/C16,"n.a.")</x:f>
        <x:v>0.3906420021762786</x:v>
      </x:c>
      <x:c r="F16" s="1" t="str">
        <x:f>IF(COUNTIFS('Monthly source'!$B$2:$B$177,$C$4&amp;"-05",'Monthly source'!$C$2:$C$177,$F$4)=0,"Outside snapshot","Observed")</x:f>
        <x:v>Observed</x:v>
      </x:c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 t="str">
        <x:v>Jun</x:v>
      </x:c>
      <x:c r="C17" s="4" t="n">
        <x:f>IF(COUNTIFS('Monthly source'!$B$2:$B$177,$C$4&amp;"-06",'Monthly source'!$C$2:$C$177,$F$4)=0,"n.a.",SUMIFS('Monthly source'!$E$2:$E$177,'Monthly source'!$B$2:$B$177,$C$4&amp;"-06",'Monthly source'!$C$2:$C$177,$F$4))</x:f>
        <x:v>3923</x:v>
      </x:c>
      <x:c r="D17" s="4" t="n">
        <x:f>IF(COUNTIFS('Monthly source'!$B$2:$B$177,$C$4&amp;"-06",'Monthly source'!$C$2:$C$177,$F$4)=0,"n.a.",SUMIFS('Monthly source'!$F$2:$F$177,'Monthly source'!$B$2:$B$177,$C$4&amp;"-06",'Monthly source'!$C$2:$C$177,$F$4))</x:f>
        <x:v>1720</x:v>
      </x:c>
      <x:c r="E17" s="12" t="n">
        <x:f>IF(ISNUMBER(C17),D17/C17,"n.a.")</x:f>
        <x:v>0.4384399694111649</x:v>
      </x:c>
      <x:c r="F17" s="1" t="str">
        <x:f>IF(COUNTIFS('Monthly source'!$B$2:$B$177,$C$4&amp;"-06",'Monthly source'!$C$2:$C$177,$F$4)=0,"Outside snapshot","Observed")</x:f>
        <x:v>Observed</x:v>
      </x:c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 t="str">
        <x:v>Jul</x:v>
      </x:c>
      <x:c r="C18" s="4" t="n">
        <x:f>IF(COUNTIFS('Monthly source'!$B$2:$B$177,$C$4&amp;"-07",'Monthly source'!$C$2:$C$177,$F$4)=0,"n.a.",SUMIFS('Monthly source'!$E$2:$E$177,'Monthly source'!$B$2:$B$177,$C$4&amp;"-07",'Monthly source'!$C$2:$C$177,$F$4))</x:f>
        <x:v>3131</x:v>
      </x:c>
      <x:c r="D18" s="4" t="n">
        <x:f>IF(COUNTIFS('Monthly source'!$B$2:$B$177,$C$4&amp;"-07",'Monthly source'!$C$2:$C$177,$F$4)=0,"n.a.",SUMIFS('Monthly source'!$F$2:$F$177,'Monthly source'!$B$2:$B$177,$C$4&amp;"-07",'Monthly source'!$C$2:$C$177,$F$4))</x:f>
        <x:v>1043</x:v>
      </x:c>
      <x:c r="E18" s="12" t="n">
        <x:f>IF(ISNUMBER(C18),D18/C18,"n.a.")</x:f>
        <x:v>0.33312040881507504</x:v>
      </x:c>
      <x:c r="F18" s="1" t="str">
        <x:f>IF(COUNTIFS('Monthly source'!$B$2:$B$177,$C$4&amp;"-07",'Monthly source'!$C$2:$C$177,$F$4)=0,"Outside snapshot","Observed")</x:f>
        <x:v>Observed</x:v>
      </x:c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 t="str">
        <x:v>Aug</x:v>
      </x:c>
      <x:c r="C19" s="4" t="n">
        <x:f>IF(COUNTIFS('Monthly source'!$B$2:$B$177,$C$4&amp;"-08",'Monthly source'!$C$2:$C$177,$F$4)=0,"n.a.",SUMIFS('Monthly source'!$E$2:$E$177,'Monthly source'!$B$2:$B$177,$C$4&amp;"-08",'Monthly source'!$C$2:$C$177,$F$4))</x:f>
        <x:v>3378</x:v>
      </x:c>
      <x:c r="D19" s="4" t="n">
        <x:f>IF(COUNTIFS('Monthly source'!$B$2:$B$177,$C$4&amp;"-08",'Monthly source'!$C$2:$C$177,$F$4)=0,"n.a.",SUMIFS('Monthly source'!$F$2:$F$177,'Monthly source'!$B$2:$B$177,$C$4&amp;"-08",'Monthly source'!$C$2:$C$177,$F$4))</x:f>
        <x:v>1247</x:v>
      </x:c>
      <x:c r="E19" s="12" t="n">
        <x:f>IF(ISNUMBER(C19),D19/C19,"n.a.")</x:f>
        <x:v>0.3691533451746596</x:v>
      </x:c>
      <x:c r="F19" s="1" t="str">
        <x:f>IF(COUNTIFS('Monthly source'!$B$2:$B$177,$C$4&amp;"-08",'Monthly source'!$C$2:$C$177,$F$4)=0,"Outside snapshot","Observed")</x:f>
        <x:v>Observed</x:v>
      </x:c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 t="str">
        <x:v>Sep</x:v>
      </x:c>
      <x:c r="C20" s="4" t="n">
        <x:f>IF(COUNTIFS('Monthly source'!$B$2:$B$177,$C$4&amp;"-09",'Monthly source'!$C$2:$C$177,$F$4)=0,"n.a.",SUMIFS('Monthly source'!$E$2:$E$177,'Monthly source'!$B$2:$B$177,$C$4&amp;"-09",'Monthly source'!$C$2:$C$177,$F$4))</x:f>
        <x:v>3871</x:v>
      </x:c>
      <x:c r="D20" s="4" t="n">
        <x:f>IF(COUNTIFS('Monthly source'!$B$2:$B$177,$C$4&amp;"-09",'Monthly source'!$C$2:$C$177,$F$4)=0,"n.a.",SUMIFS('Monthly source'!$F$2:$F$177,'Monthly source'!$B$2:$B$177,$C$4&amp;"-09",'Monthly source'!$C$2:$C$177,$F$4))</x:f>
        <x:v>1567</x:v>
      </x:c>
      <x:c r="E20" s="12" t="n">
        <x:f>IF(ISNUMBER(C20),D20/C20,"n.a.")</x:f>
        <x:v>0.404804959958667</x:v>
      </x:c>
      <x:c r="F20" s="1" t="str">
        <x:f>IF(COUNTIFS('Monthly source'!$B$2:$B$177,$C$4&amp;"-09",'Monthly source'!$C$2:$C$177,$F$4)=0,"Outside snapshot","Observed")</x:f>
        <x:v>Observed</x:v>
      </x:c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 t="str">
        <x:v>Oct</x:v>
      </x:c>
      <x:c r="C21" s="4" t="n">
        <x:f>IF(COUNTIFS('Monthly source'!$B$2:$B$177,$C$4&amp;"-10",'Monthly source'!$C$2:$C$177,$F$4)=0,"n.a.",SUMIFS('Monthly source'!$E$2:$E$177,'Monthly source'!$B$2:$B$177,$C$4&amp;"-10",'Monthly source'!$C$2:$C$177,$F$4))</x:f>
        <x:v>4219</x:v>
      </x:c>
      <x:c r="D21" s="4" t="n">
        <x:f>IF(COUNTIFS('Monthly source'!$B$2:$B$177,$C$4&amp;"-10",'Monthly source'!$C$2:$C$177,$F$4)=0,"n.a.",SUMIFS('Monthly source'!$F$2:$F$177,'Monthly source'!$B$2:$B$177,$C$4&amp;"-10",'Monthly source'!$C$2:$C$177,$F$4))</x:f>
        <x:v>1947</x:v>
      </x:c>
      <x:c r="E21" s="12" t="n">
        <x:f>IF(ISNUMBER(C21),D21/C21,"n.a.")</x:f>
        <x:v>0.4614837639251007</x:v>
      </x:c>
      <x:c r="F21" s="1" t="str">
        <x:f>IF(COUNTIFS('Monthly source'!$B$2:$B$177,$C$4&amp;"-10",'Monthly source'!$C$2:$C$177,$F$4)=0,"Outside snapshot","Observed")</x:f>
        <x:v>Observed</x:v>
      </x:c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 t="str">
        <x:v>Nov</x:v>
      </x:c>
      <x:c r="C22" s="4" t="n">
        <x:f>IF(COUNTIFS('Monthly source'!$B$2:$B$177,$C$4&amp;"-11",'Monthly source'!$C$2:$C$177,$F$4)=0,"n.a.",SUMIFS('Monthly source'!$E$2:$E$177,'Monthly source'!$B$2:$B$177,$C$4&amp;"-11",'Monthly source'!$C$2:$C$177,$F$4))</x:f>
        <x:v>3122</x:v>
      </x:c>
      <x:c r="D22" s="4" t="n">
        <x:f>IF(COUNTIFS('Monthly source'!$B$2:$B$177,$C$4&amp;"-11",'Monthly source'!$C$2:$C$177,$F$4)=0,"n.a.",SUMIFS('Monthly source'!$F$2:$F$177,'Monthly source'!$B$2:$B$177,$C$4&amp;"-11",'Monthly source'!$C$2:$C$177,$F$4))</x:f>
        <x:v>1360</x:v>
      </x:c>
      <x:c r="E22" s="12" t="n">
        <x:f>IF(ISNUMBER(C22),D22/C22,"n.a.")</x:f>
        <x:v>0.4356181934657271</x:v>
      </x:c>
      <x:c r="F22" s="1" t="str">
        <x:f>IF(COUNTIFS('Monthly source'!$B$2:$B$177,$C$4&amp;"-11",'Monthly source'!$C$2:$C$177,$F$4)=0,"Outside snapshot","Observed")</x:f>
        <x:v>Observed</x:v>
      </x:c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 t="str">
        <x:v>Dec</x:v>
      </x:c>
      <x:c r="C23" s="4" t="n">
        <x:f>IF(COUNTIFS('Monthly source'!$B$2:$B$177,$C$4&amp;"-12",'Monthly source'!$C$2:$C$177,$F$4)=0,"n.a.",SUMIFS('Monthly source'!$E$2:$E$177,'Monthly source'!$B$2:$B$177,$C$4&amp;"-12",'Monthly source'!$C$2:$C$177,$F$4))</x:f>
        <x:v>2478</x:v>
      </x:c>
      <x:c r="D23" s="4" t="n">
        <x:f>IF(COUNTIFS('Monthly source'!$B$2:$B$177,$C$4&amp;"-12",'Monthly source'!$C$2:$C$177,$F$4)=0,"n.a.",SUMIFS('Monthly source'!$F$2:$F$177,'Monthly source'!$B$2:$B$177,$C$4&amp;"-12",'Monthly source'!$C$2:$C$177,$F$4))</x:f>
        <x:v>1072</x:v>
      </x:c>
      <x:c r="E23" s="12" t="n">
        <x:f>IF(ISNUMBER(C23),D23/C23,"n.a.")</x:f>
        <x:v>0.43260694108151737</x:v>
      </x:c>
      <x:c r="F23" s="1" t="str">
        <x:f>IF(COUNTIFS('Monthly source'!$B$2:$B$177,$C$4&amp;"-12",'Monthly source'!$C$2:$C$177,$F$4)=0,"Outside snapshot","Observed")</x:f>
        <x:v>Observed</x:v>
      </x:c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3" t="str">
        <x:v>Channel</x:v>
      </x:c>
      <x:c r="C26" s="3" t="str">
        <x:v>Bookings</x:v>
      </x:c>
      <x:c r="D26" s="3" t="str">
        <x:v>Canceled flag</x:v>
      </x:c>
      <x:c r="E26" s="3" t="str">
        <x:v>Cancellation rate</x:v>
      </x:c>
      <x:c r="F26" s="3" t="str">
        <x:v>Share of bookings</x:v>
      </x:c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 t="str">
        <x:v>Corporate</x:v>
      </x:c>
      <x:c r="C27" s="4" t="n">
        <x:f>SUMIFS('Monthly source'!$E$2:$E$177,'Monthly source'!$A$2:$A$177,$C$4,'Monthly source'!$C$2:$C$177,$F$4,'Monthly source'!$D$2:$D$177,B27)</x:f>
        <x:v>1874</x:v>
      </x:c>
      <x:c r="D27" s="4" t="n">
        <x:f>SUMIFS('Monthly source'!$F$2:$F$177,'Monthly source'!$A$2:$A$177,$C$4,'Monthly source'!$C$2:$C$177,$F$4,'Monthly source'!$D$2:$D$177,B27)</x:f>
        <x:v>388</x:v>
      </x:c>
      <x:c r="E27" s="12" t="n">
        <x:f>IF(C27=0,"n.a.",D27/C27)</x:f>
        <x:v>0.20704375667022412</x:v>
      </x:c>
      <x:c r="F27" s="12" t="n">
        <x:f>IF($B$7=0,"n.a.",C27/$B$7)</x:f>
        <x:v>0.04913476664918721</x:v>
      </x:c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 t="str">
        <x:v>Direct</x:v>
      </x:c>
      <x:c r="C28" s="4" t="n">
        <x:f>SUMIFS('Monthly source'!$E$2:$E$177,'Monthly source'!$A$2:$A$177,$C$4,'Monthly source'!$C$2:$C$177,$F$4,'Monthly source'!$D$2:$D$177,B28)</x:f>
        <x:v>3007</x:v>
      </x:c>
      <x:c r="D28" s="4" t="n">
        <x:f>SUMIFS('Monthly source'!$F$2:$F$177,'Monthly source'!$A$2:$A$177,$C$4,'Monthly source'!$C$2:$C$177,$F$4,'Monthly source'!$D$2:$D$177,B28)</x:f>
        <x:v>536</x:v>
      </x:c>
      <x:c r="E28" s="12" t="n">
        <x:f>IF(C28=0,"n.a.",D28/C28)</x:f>
        <x:v>0.17825074825407383</x:v>
      </x:c>
      <x:c r="F28" s="12" t="n">
        <x:f>IF($B$7=0,"n.a.",C28/$B$7)</x:f>
        <x:v>0.07884111169375983</x:v>
      </x:c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 t="str">
        <x:v>GDS</x:v>
      </x:c>
      <x:c r="C29" s="4" t="n">
        <x:f>SUMIFS('Monthly source'!$E$2:$E$177,'Monthly source'!$A$2:$A$177,$C$4,'Monthly source'!$C$2:$C$177,$F$4,'Monthly source'!$D$2:$D$177,B29)</x:f>
        <x:v>104</x:v>
      </x:c>
      <x:c r="D29" s="4" t="n">
        <x:f>SUMIFS('Monthly source'!$F$2:$F$177,'Monthly source'!$A$2:$A$177,$C$4,'Monthly source'!$C$2:$C$177,$F$4,'Monthly source'!$D$2:$D$177,B29)</x:f>
        <x:v>22</x:v>
      </x:c>
      <x:c r="E29" s="12" t="n">
        <x:f>IF(C29=0,"n.a.",D29/C29)</x:f>
        <x:v>0.21153846153846154</x:v>
      </x:c>
      <x:c r="F29" s="12" t="n">
        <x:f>IF($B$7=0,"n.a.",C29/$B$7)</x:f>
        <x:v>0.0027267960146827477</x:v>
      </x:c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 t="str">
        <x:v>TA/TO</x:v>
      </x:c>
      <x:c r="C30" s="4" t="n">
        <x:f>SUMIFS('Monthly source'!$E$2:$E$177,'Monthly source'!$A$2:$A$177,$C$4,'Monthly source'!$C$2:$C$177,$F$4,'Monthly source'!$D$2:$D$177,B30)</x:f>
        <x:v>33155</x:v>
      </x:c>
      <x:c r="D30" s="4" t="n">
        <x:f>SUMIFS('Monthly source'!$F$2:$F$177,'Monthly source'!$A$2:$A$177,$C$4,'Monthly source'!$C$2:$C$177,$F$4,'Monthly source'!$D$2:$D$177,B30)</x:f>
        <x:v>14461</x:v>
      </x:c>
      <x:c r="E30" s="12" t="n">
        <x:f>IF(C30=0,"n.a.",D30/C30)</x:f>
        <x:v>0.4361634745890514</x:v>
      </x:c>
      <x:c r="F30" s="12" t="n">
        <x:f>IF($B$7=0,"n.a.",C30/$B$7)</x:f>
        <x:v>0.8692973256423702</x:v>
      </x:c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 t="str">
        <x:v>Undefined</x:v>
      </x:c>
      <x:c r="C31" s="4" t="n">
        <x:f>SUMIFS('Monthly source'!$E$2:$E$177,'Monthly source'!$A$2:$A$177,$C$4,'Monthly source'!$C$2:$C$177,$F$4,'Monthly source'!$D$2:$D$177,B31)</x:f>
        <x:v>0</x:v>
      </x:c>
      <x:c r="D31" s="4" t="n">
        <x:f>SUMIFS('Monthly source'!$F$2:$F$177,'Monthly source'!$A$2:$A$177,$C$4,'Monthly source'!$C$2:$C$177,$F$4,'Monthly source'!$D$2:$D$177,B31)</x:f>
        <x:v>0</x:v>
      </x:c>
      <x:c r="E31" s="12" t="str">
        <x:f>IF(C31=0,"n.a.",D31/C31)</x:f>
        <x:v>n.a.</x:v>
      </x:c>
      <x:c r="F31" s="12" t="n">
        <x:f>IF($B$7=0,"n.a.",C31/$B$7)</x:f>
        <x:v>0</x:v>
      </x:c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 t="str">
        <x:v>Channel bookings vs report total</x:v>
      </x:c>
      <x:c r="C34" s="1"/>
      <x:c r="D34" s="1"/>
      <x:c r="E34" s="1" t="n">
        <x:f>SUM(C27:C31)-B7</x:f>
        <x:v>0</x:v>
      </x:c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 t="str">
        <x:v>Channel cancellations vs report total</x:v>
      </x:c>
      <x:c r="C35" s="1"/>
      <x:c r="D35" s="1"/>
      <x:c r="E35" s="1" t="n">
        <x:f>SUM(D27:D31)-C7</x:f>
        <x:v>0</x:v>
      </x:c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 t="str">
        <x:v>Canceled flag includes no-shows. Checked out uses the explicit reservation status.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 t="str">
        <x:v>Amber cells are editable filters; source rows are complete monthly aggregates.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 t="str">
        <x:v>Reconciliation differences above should be zero. No occupancy or revenue estimate is made.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dataValidations count="2">
    <x:dataValidation type="list" sqref="C4">
      <x:formula1>"2015,2016,2017"</x:formula1>
    </x:dataValidation>
    <x:dataValidation type="list" sqref="F4">
      <x:formula1>"City Hotel,Resort Hotel"</x:formula1>
    </x:dataValidation>
  </x:dataValidations>
  <x:pageMargins left="0.7" right="0.7" top="0.75" bottom="0.75" header="0.3" footer="0.3"/>
  <x:drawing xmlns:r="http://schemas.openxmlformats.org/officeDocument/2006/relationships" r:id="Rcba6613da288485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3" t="str">
        <x:v>Year</x:v>
      </x:c>
      <x:c r="B1" s="3" t="str">
        <x:v>Month</x:v>
      </x:c>
      <x:c r="C1" s="3" t="str">
        <x:v>Hotel</x:v>
      </x:c>
      <x:c r="D1" s="3" t="str">
        <x:v>Channel</x:v>
      </x:c>
      <x:c r="E1" s="3" t="str">
        <x:v>Bookings</x:v>
      </x:c>
      <x:c r="F1" s="3" t="str">
        <x:v>Canceled flag</x:v>
      </x:c>
      <x:c r="G1" s="3" t="str">
        <x:v>Checked out</x:v>
      </x:c>
      <x:c r="H1" s="3" t="str">
        <x:v>No shows</x:v>
      </x:c>
      <x:c r="I1" s="1"/>
      <x:c r="J1" s="1"/>
      <x:c r="K1" s="1"/>
      <x:c r="L1" s="1"/>
      <x:c r="M1" s="1"/>
      <x:c r="N1" s="1"/>
    </x:row>
    <x:row r="2">
      <x:c r="A2" s="1" t="n">
        <x:v>2015</x:v>
      </x:c>
      <x:c r="B2" s="1" t="str">
        <x:v>2015-07</x:v>
      </x:c>
      <x:c r="C2" s="1" t="str">
        <x:v>City Hotel</x:v>
      </x:c>
      <x:c r="D2" s="1" t="str">
        <x:v>Direct</x:v>
      </x:c>
      <x:c r="E2" s="4" t="n">
        <x:v>27</x:v>
      </x:c>
      <x:c r="F2" s="4" t="n">
        <x:v>11</x:v>
      </x:c>
      <x:c r="G2" s="4" t="n">
        <x:v>16</x:v>
      </x:c>
      <x:c r="H2" s="4" t="n">
        <x:v>7</x:v>
      </x:c>
      <x:c r="I2" s="1"/>
      <x:c r="J2" s="1"/>
      <x:c r="K2" s="1"/>
      <x:c r="L2" s="1"/>
      <x:c r="M2" s="1"/>
      <x:c r="N2" s="1"/>
    </x:row>
    <x:row r="3">
      <x:c r="A3" s="1" t="n">
        <x:v>2015</x:v>
      </x:c>
      <x:c r="B3" s="1" t="str">
        <x:v>2015-07</x:v>
      </x:c>
      <x:c r="C3" s="1" t="str">
        <x:v>City Hotel</x:v>
      </x:c>
      <x:c r="D3" s="1" t="str">
        <x:v>TA/TO</x:v>
      </x:c>
      <x:c r="E3" s="4" t="n">
        <x:v>1371</x:v>
      </x:c>
      <x:c r="F3" s="4" t="n">
        <x:v>928</x:v>
      </x:c>
      <x:c r="G3" s="4" t="n">
        <x:v>443</x:v>
      </x:c>
      <x:c r="H3" s="4" t="n">
        <x:v>14</x:v>
      </x:c>
      <x:c r="I3" s="1"/>
      <x:c r="J3" s="1"/>
      <x:c r="K3" s="1"/>
      <x:c r="L3" s="1"/>
      <x:c r="M3" s="1"/>
      <x:c r="N3" s="1"/>
    </x:row>
    <x:row r="4">
      <x:c r="A4" s="1" t="n">
        <x:v>2015</x:v>
      </x:c>
      <x:c r="B4" s="1" t="str">
        <x:v>2015-07</x:v>
      </x:c>
      <x:c r="C4" s="1" t="str">
        <x:v>Resort Hotel</x:v>
      </x:c>
      <x:c r="D4" s="1" t="str">
        <x:v>Corporate</x:v>
      </x:c>
      <x:c r="E4" s="4" t="n">
        <x:v>22</x:v>
      </x:c>
      <x:c r="F4" s="4" t="n">
        <x:v>4</x:v>
      </x:c>
      <x:c r="G4" s="4" t="n">
        <x:v>18</x:v>
      </x:c>
      <x:c r="H4" s="4" t="n">
        <x:v>0</x:v>
      </x:c>
      <x:c r="I4" s="1"/>
      <x:c r="J4" s="1"/>
      <x:c r="K4" s="1"/>
      <x:c r="L4" s="1"/>
      <x:c r="M4" s="1"/>
      <x:c r="N4" s="1"/>
    </x:row>
    <x:row r="5">
      <x:c r="A5" s="1" t="n">
        <x:v>2015</x:v>
      </x:c>
      <x:c r="B5" s="1" t="str">
        <x:v>2015-07</x:v>
      </x:c>
      <x:c r="C5" s="1" t="str">
        <x:v>Resort Hotel</x:v>
      </x:c>
      <x:c r="D5" s="1" t="str">
        <x:v>Direct</x:v>
      </x:c>
      <x:c r="E5" s="4" t="n">
        <x:v>279</x:v>
      </x:c>
      <x:c r="F5" s="4" t="n">
        <x:v>31</x:v>
      </x:c>
      <x:c r="G5" s="4" t="n">
        <x:v>248</x:v>
      </x:c>
      <x:c r="H5" s="4" t="n">
        <x:v>2</x:v>
      </x:c>
      <x:c r="I5" s="1"/>
      <x:c r="J5" s="1"/>
      <x:c r="K5" s="1"/>
      <x:c r="L5" s="1"/>
      <x:c r="M5" s="1"/>
      <x:c r="N5" s="1"/>
    </x:row>
    <x:row r="6">
      <x:c r="A6" s="1" t="n">
        <x:v>2015</x:v>
      </x:c>
      <x:c r="B6" s="1" t="str">
        <x:v>2015-07</x:v>
      </x:c>
      <x:c r="C6" s="1" t="str">
        <x:v>Resort Hotel</x:v>
      </x:c>
      <x:c r="D6" s="1" t="str">
        <x:v>TA/TO</x:v>
      </x:c>
      <x:c r="E6" s="4" t="n">
        <x:v>1076</x:v>
      </x:c>
      <x:c r="F6" s="4" t="n">
        <x:v>285</x:v>
      </x:c>
      <x:c r="G6" s="4" t="n">
        <x:v>791</x:v>
      </x:c>
      <x:c r="H6" s="4" t="n">
        <x:v>4</x:v>
      </x:c>
      <x:c r="I6" s="1"/>
      <x:c r="J6" s="1"/>
      <x:c r="K6" s="1"/>
      <x:c r="L6" s="1"/>
      <x:c r="M6" s="1"/>
      <x:c r="N6" s="1"/>
    </x:row>
    <x:row r="7">
      <x:c r="A7" s="1" t="n">
        <x:v>2015</x:v>
      </x:c>
      <x:c r="B7" s="1" t="str">
        <x:v>2015-07</x:v>
      </x:c>
      <x:c r="C7" s="1" t="str">
        <x:v>Resort Hotel</x:v>
      </x:c>
      <x:c r="D7" s="1" t="str">
        <x:v>Undefined</x:v>
      </x:c>
      <x:c r="E7" s="4" t="n">
        <x:v>1</x:v>
      </x:c>
      <x:c r="F7" s="4" t="n">
        <x:v>0</x:v>
      </x:c>
      <x:c r="G7" s="4" t="n">
        <x:v>1</x:v>
      </x:c>
      <x:c r="H7" s="4" t="n">
        <x:v>0</x:v>
      </x:c>
      <x:c r="I7" s="1"/>
      <x:c r="J7" s="1"/>
      <x:c r="K7" s="1"/>
      <x:c r="L7" s="1"/>
      <x:c r="M7" s="1"/>
      <x:c r="N7" s="1"/>
    </x:row>
    <x:row r="8">
      <x:c r="A8" s="1" t="n">
        <x:v>2015</x:v>
      </x:c>
      <x:c r="B8" s="1" t="str">
        <x:v>2015-08</x:v>
      </x:c>
      <x:c r="C8" s="1" t="str">
        <x:v>City Hotel</x:v>
      </x:c>
      <x:c r="D8" s="1" t="str">
        <x:v>Corporate</x:v>
      </x:c>
      <x:c r="E8" s="4" t="n">
        <x:v>77</x:v>
      </x:c>
      <x:c r="F8" s="4" t="n">
        <x:v>23</x:v>
      </x:c>
      <x:c r="G8" s="4" t="n">
        <x:v>54</x:v>
      </x:c>
      <x:c r="H8" s="4" t="n">
        <x:v>2</x:v>
      </x:c>
      <x:c r="I8" s="1"/>
      <x:c r="J8" s="1"/>
      <x:c r="K8" s="1"/>
      <x:c r="L8" s="1"/>
      <x:c r="M8" s="1"/>
      <x:c r="N8" s="1"/>
    </x:row>
    <x:row r="9">
      <x:c r="A9" s="1" t="n">
        <x:v>2015</x:v>
      </x:c>
      <x:c r="B9" s="1" t="str">
        <x:v>2015-08</x:v>
      </x:c>
      <x:c r="C9" s="1" t="str">
        <x:v>City Hotel</x:v>
      </x:c>
      <x:c r="D9" s="1" t="str">
        <x:v>Direct</x:v>
      </x:c>
      <x:c r="E9" s="4" t="n">
        <x:v>289</x:v>
      </x:c>
      <x:c r="F9" s="4" t="n">
        <x:v>25</x:v>
      </x:c>
      <x:c r="G9" s="4" t="n">
        <x:v>264</x:v>
      </x:c>
      <x:c r="H9" s="4" t="n">
        <x:v>10</x:v>
      </x:c>
      <x:c r="I9" s="1"/>
      <x:c r="J9" s="1"/>
      <x:c r="K9" s="1"/>
      <x:c r="L9" s="1"/>
      <x:c r="M9" s="1"/>
      <x:c r="N9" s="1"/>
    </x:row>
    <x:row r="10">
      <x:c r="A10" s="1" t="n">
        <x:v>2015</x:v>
      </x:c>
      <x:c r="B10" s="1" t="str">
        <x:v>2015-08</x:v>
      </x:c>
      <x:c r="C10" s="1" t="str">
        <x:v>City Hotel</x:v>
      </x:c>
      <x:c r="D10" s="1" t="str">
        <x:v>TA/TO</x:v>
      </x:c>
      <x:c r="E10" s="4" t="n">
        <x:v>2110</x:v>
      </x:c>
      <x:c r="F10" s="4" t="n">
        <x:v>1180</x:v>
      </x:c>
      <x:c r="G10" s="4" t="n">
        <x:v>930</x:v>
      </x:c>
      <x:c r="H10" s="4" t="n">
        <x:v>3</x:v>
      </x:c>
      <x:c r="I10" s="1"/>
      <x:c r="J10" s="1"/>
      <x:c r="K10" s="1"/>
      <x:c r="L10" s="1"/>
      <x:c r="M10" s="1"/>
      <x:c r="N10" s="1"/>
    </x:row>
    <x:row r="11">
      <x:c r="A11" s="1" t="n">
        <x:v>2015</x:v>
      </x:c>
      <x:c r="B11" s="1" t="str">
        <x:v>2015-08</x:v>
      </x:c>
      <x:c r="C11" s="1" t="str">
        <x:v>City Hotel</x:v>
      </x:c>
      <x:c r="D11" s="1" t="str">
        <x:v>Undefined</x:v>
      </x:c>
      <x:c r="E11" s="4" t="n">
        <x:v>4</x:v>
      </x:c>
      <x:c r="F11" s="4" t="n">
        <x:v>4</x:v>
      </x:c>
      <x:c r="G11" s="4" t="n">
        <x:v>0</x:v>
      </x:c>
      <x:c r="H11" s="4" t="n">
        <x:v>0</x:v>
      </x:c>
      <x:c r="I11" s="1"/>
      <x:c r="J11" s="1"/>
      <x:c r="K11" s="1"/>
      <x:c r="L11" s="1"/>
      <x:c r="M11" s="1"/>
      <x:c r="N11" s="1"/>
    </x:row>
    <x:row r="12">
      <x:c r="A12" s="1" t="n">
        <x:v>2015</x:v>
      </x:c>
      <x:c r="B12" s="1" t="str">
        <x:v>2015-08</x:v>
      </x:c>
      <x:c r="C12" s="1" t="str">
        <x:v>Resort Hotel</x:v>
      </x:c>
      <x:c r="D12" s="1" t="str">
        <x:v>Corporate</x:v>
      </x:c>
      <x:c r="E12" s="4" t="n">
        <x:v>34</x:v>
      </x:c>
      <x:c r="F12" s="4" t="n">
        <x:v>9</x:v>
      </x:c>
      <x:c r="G12" s="4" t="n">
        <x:v>25</x:v>
      </x:c>
      <x:c r="H12" s="4" t="n">
        <x:v>1</x:v>
      </x:c>
      <x:c r="I12" s="1"/>
      <x:c r="J12" s="1"/>
      <x:c r="K12" s="1"/>
      <x:c r="L12" s="1"/>
      <x:c r="M12" s="1"/>
      <x:c r="N12" s="1"/>
    </x:row>
    <x:row r="13">
      <x:c r="A13" s="1" t="n">
        <x:v>2015</x:v>
      </x:c>
      <x:c r="B13" s="1" t="str">
        <x:v>2015-08</x:v>
      </x:c>
      <x:c r="C13" s="1" t="str">
        <x:v>Resort Hotel</x:v>
      </x:c>
      <x:c r="D13" s="1" t="str">
        <x:v>Direct</x:v>
      </x:c>
      <x:c r="E13" s="4" t="n">
        <x:v>321</x:v>
      </x:c>
      <x:c r="F13" s="4" t="n">
        <x:v>61</x:v>
      </x:c>
      <x:c r="G13" s="4" t="n">
        <x:v>260</x:v>
      </x:c>
      <x:c r="H13" s="4" t="n">
        <x:v>1</x:v>
      </x:c>
      <x:c r="I13" s="1"/>
      <x:c r="J13" s="1"/>
      <x:c r="K13" s="1"/>
      <x:c r="L13" s="1"/>
      <x:c r="M13" s="1"/>
      <x:c r="N13" s="1"/>
    </x:row>
    <x:row r="14">
      <x:c r="A14" s="1" t="n">
        <x:v>2015</x:v>
      </x:c>
      <x:c r="B14" s="1" t="str">
        <x:v>2015-08</x:v>
      </x:c>
      <x:c r="C14" s="1" t="str">
        <x:v>Resort Hotel</x:v>
      </x:c>
      <x:c r="D14" s="1" t="str">
        <x:v>TA/TO</x:v>
      </x:c>
      <x:c r="E14" s="4" t="n">
        <x:v>1054</x:v>
      </x:c>
      <x:c r="F14" s="4" t="n">
        <x:v>296</x:v>
      </x:c>
      <x:c r="G14" s="4" t="n">
        <x:v>758</x:v>
      </x:c>
      <x:c r="H14" s="4" t="n">
        <x:v>3</x:v>
      </x:c>
      <x:c r="I14" s="1"/>
      <x:c r="J14" s="1"/>
      <x:c r="K14" s="1"/>
      <x:c r="L14" s="1"/>
      <x:c r="M14" s="1"/>
      <x:c r="N14" s="1"/>
    </x:row>
    <x:row r="15">
      <x:c r="A15" s="1" t="n">
        <x:v>2015</x:v>
      </x:c>
      <x:c r="B15" s="1" t="str">
        <x:v>2015-09</x:v>
      </x:c>
      <x:c r="C15" s="1" t="str">
        <x:v>City Hotel</x:v>
      </x:c>
      <x:c r="D15" s="1" t="str">
        <x:v>Corporate</x:v>
      </x:c>
      <x:c r="E15" s="4" t="n">
        <x:v>173</x:v>
      </x:c>
      <x:c r="F15" s="4" t="n">
        <x:v>65</x:v>
      </x:c>
      <x:c r="G15" s="4" t="n">
        <x:v>108</x:v>
      </x:c>
      <x:c r="H15" s="4" t="n">
        <x:v>4</x:v>
      </x:c>
      <x:c r="I15" s="1"/>
      <x:c r="J15" s="1"/>
      <x:c r="K15" s="1"/>
      <x:c r="L15" s="1"/>
      <x:c r="M15" s="1"/>
      <x:c r="N15" s="1"/>
    </x:row>
    <x:row r="16">
      <x:c r="A16" s="1" t="n">
        <x:v>2015</x:v>
      </x:c>
      <x:c r="B16" s="1" t="str">
        <x:v>2015-09</x:v>
      </x:c>
      <x:c r="C16" s="1" t="str">
        <x:v>City Hotel</x:v>
      </x:c>
      <x:c r="D16" s="1" t="str">
        <x:v>Direct</x:v>
      </x:c>
      <x:c r="E16" s="4" t="n">
        <x:v>241</x:v>
      </x:c>
      <x:c r="F16" s="4" t="n">
        <x:v>22</x:v>
      </x:c>
      <x:c r="G16" s="4" t="n">
        <x:v>219</x:v>
      </x:c>
      <x:c r="H16" s="4" t="n">
        <x:v>11</x:v>
      </x:c>
      <x:c r="I16" s="1"/>
      <x:c r="J16" s="1"/>
      <x:c r="K16" s="1"/>
      <x:c r="L16" s="1"/>
      <x:c r="M16" s="1"/>
      <x:c r="N16" s="1"/>
    </x:row>
    <x:row r="17">
      <x:c r="A17" s="1" t="n">
        <x:v>2015</x:v>
      </x:c>
      <x:c r="B17" s="1" t="str">
        <x:v>2015-09</x:v>
      </x:c>
      <x:c r="C17" s="1" t="str">
        <x:v>City Hotel</x:v>
      </x:c>
      <x:c r="D17" s="1" t="str">
        <x:v>GDS</x:v>
      </x:c>
      <x:c r="E17" s="4" t="n">
        <x:v>1</x:v>
      </x:c>
      <x:c r="F17" s="4" t="n">
        <x:v>0</x:v>
      </x:c>
      <x:c r="G17" s="4" t="n">
        <x:v>1</x:v>
      </x:c>
      <x:c r="H17" s="4" t="n">
        <x:v>0</x:v>
      </x:c>
      <x:c r="I17" s="1"/>
      <x:c r="J17" s="1"/>
      <x:c r="K17" s="1"/>
      <x:c r="L17" s="1"/>
      <x:c r="M17" s="1"/>
      <x:c r="N17" s="1"/>
    </x:row>
    <x:row r="18">
      <x:c r="A18" s="1" t="n">
        <x:v>2015</x:v>
      </x:c>
      <x:c r="B18" s="1" t="str">
        <x:v>2015-09</x:v>
      </x:c>
      <x:c r="C18" s="1" t="str">
        <x:v>City Hotel</x:v>
      </x:c>
      <x:c r="D18" s="1" t="str">
        <x:v>TA/TO</x:v>
      </x:c>
      <x:c r="E18" s="4" t="n">
        <x:v>3114</x:v>
      </x:c>
      <x:c r="F18" s="4" t="n">
        <x:v>1456</x:v>
      </x:c>
      <x:c r="G18" s="4" t="n">
        <x:v>1658</x:v>
      </x:c>
      <x:c r="H18" s="4" t="n">
        <x:v>15</x:v>
      </x:c>
      <x:c r="I18" s="1"/>
      <x:c r="J18" s="1"/>
      <x:c r="K18" s="1"/>
      <x:c r="L18" s="1"/>
      <x:c r="M18" s="1"/>
      <x:c r="N18" s="1"/>
    </x:row>
    <x:row r="19">
      <x:c r="A19" s="1" t="n">
        <x:v>2015</x:v>
      </x:c>
      <x:c r="B19" s="1" t="str">
        <x:v>2015-09</x:v>
      </x:c>
      <x:c r="C19" s="1" t="str">
        <x:v>Resort Hotel</x:v>
      </x:c>
      <x:c r="D19" s="1" t="str">
        <x:v>Corporate</x:v>
      </x:c>
      <x:c r="E19" s="4" t="n">
        <x:v>171</x:v>
      </x:c>
      <x:c r="F19" s="4" t="n">
        <x:v>136</x:v>
      </x:c>
      <x:c r="G19" s="4" t="n">
        <x:v>35</x:v>
      </x:c>
      <x:c r="H19" s="4" t="n">
        <x:v>1</x:v>
      </x:c>
      <x:c r="I19" s="1"/>
      <x:c r="J19" s="1"/>
      <x:c r="K19" s="1"/>
      <x:c r="L19" s="1"/>
      <x:c r="M19" s="1"/>
      <x:c r="N19" s="1"/>
    </x:row>
    <x:row r="20">
      <x:c r="A20" s="1" t="n">
        <x:v>2015</x:v>
      </x:c>
      <x:c r="B20" s="1" t="str">
        <x:v>2015-09</x:v>
      </x:c>
      <x:c r="C20" s="1" t="str">
        <x:v>Resort Hotel</x:v>
      </x:c>
      <x:c r="D20" s="1" t="str">
        <x:v>Direct</x:v>
      </x:c>
      <x:c r="E20" s="4" t="n">
        <x:v>202</x:v>
      </x:c>
      <x:c r="F20" s="4" t="n">
        <x:v>34</x:v>
      </x:c>
      <x:c r="G20" s="4" t="n">
        <x:v>168</x:v>
      </x:c>
      <x:c r="H20" s="4" t="n">
        <x:v>4</x:v>
      </x:c>
      <x:c r="I20" s="1"/>
      <x:c r="J20" s="1"/>
      <x:c r="K20" s="1"/>
      <x:c r="L20" s="1"/>
      <x:c r="M20" s="1"/>
      <x:c r="N20" s="1"/>
    </x:row>
    <x:row r="21">
      <x:c r="A21" s="1" t="n">
        <x:v>2015</x:v>
      </x:c>
      <x:c r="B21" s="1" t="str">
        <x:v>2015-09</x:v>
      </x:c>
      <x:c r="C21" s="1" t="str">
        <x:v>Resort Hotel</x:v>
      </x:c>
      <x:c r="D21" s="1" t="str">
        <x:v>TA/TO</x:v>
      </x:c>
      <x:c r="E21" s="4" t="n">
        <x:v>1212</x:v>
      </x:c>
      <x:c r="F21" s="4" t="n">
        <x:v>381</x:v>
      </x:c>
      <x:c r="G21" s="4" t="n">
        <x:v>831</x:v>
      </x:c>
      <x:c r="H21" s="4" t="n">
        <x:v>3</x:v>
      </x:c>
      <x:c r="I21" s="1"/>
      <x:c r="J21" s="1"/>
      <x:c r="K21" s="1"/>
      <x:c r="L21" s="1"/>
      <x:c r="M21" s="1"/>
      <x:c r="N21" s="1"/>
    </x:row>
    <x:row r="22">
      <x:c r="A22" s="1" t="n">
        <x:v>2015</x:v>
      </x:c>
      <x:c r="B22" s="1" t="str">
        <x:v>2015-10</x:v>
      </x:c>
      <x:c r="C22" s="1" t="str">
        <x:v>City Hotel</x:v>
      </x:c>
      <x:c r="D22" s="1" t="str">
        <x:v>Corporate</x:v>
      </x:c>
      <x:c r="E22" s="4" t="n">
        <x:v>117</x:v>
      </x:c>
      <x:c r="F22" s="4" t="n">
        <x:v>9</x:v>
      </x:c>
      <x:c r="G22" s="4" t="n">
        <x:v>108</x:v>
      </x:c>
      <x:c r="H22" s="4" t="n">
        <x:v>1</x:v>
      </x:c>
      <x:c r="I22" s="1"/>
      <x:c r="J22" s="1"/>
      <x:c r="K22" s="1"/>
      <x:c r="L22" s="1"/>
      <x:c r="M22" s="1"/>
      <x:c r="N22" s="1"/>
    </x:row>
    <x:row r="23">
      <x:c r="A23" s="1" t="n">
        <x:v>2015</x:v>
      </x:c>
      <x:c r="B23" s="1" t="str">
        <x:v>2015-10</x:v>
      </x:c>
      <x:c r="C23" s="1" t="str">
        <x:v>City Hotel</x:v>
      </x:c>
      <x:c r="D23" s="1" t="str">
        <x:v>Direct</x:v>
      </x:c>
      <x:c r="E23" s="4" t="n">
        <x:v>227</x:v>
      </x:c>
      <x:c r="F23" s="4" t="n">
        <x:v>68</x:v>
      </x:c>
      <x:c r="G23" s="4" t="n">
        <x:v>159</x:v>
      </x:c>
      <x:c r="H23" s="4" t="n">
        <x:v>3</x:v>
      </x:c>
      <x:c r="I23" s="1"/>
      <x:c r="J23" s="1"/>
      <x:c r="K23" s="1"/>
      <x:c r="L23" s="1"/>
      <x:c r="M23" s="1"/>
      <x:c r="N23" s="1"/>
    </x:row>
    <x:row r="24">
      <x:c r="A24" s="1" t="n">
        <x:v>2015</x:v>
      </x:c>
      <x:c r="B24" s="1" t="str">
        <x:v>2015-10</x:v>
      </x:c>
      <x:c r="C24" s="1" t="str">
        <x:v>City Hotel</x:v>
      </x:c>
      <x:c r="D24" s="1" t="str">
        <x:v>TA/TO</x:v>
      </x:c>
      <x:c r="E24" s="4" t="n">
        <x:v>3042</x:v>
      </x:c>
      <x:c r="F24" s="4" t="n">
        <x:v>1244</x:v>
      </x:c>
      <x:c r="G24" s="4" t="n">
        <x:v>1798</x:v>
      </x:c>
      <x:c r="H24" s="4" t="n">
        <x:v>6</x:v>
      </x:c>
      <x:c r="I24" s="1"/>
      <x:c r="J24" s="1"/>
      <x:c r="K24" s="1"/>
      <x:c r="L24" s="1"/>
      <x:c r="M24" s="1"/>
      <x:c r="N24" s="1"/>
    </x:row>
    <x:row r="25">
      <x:c r="A25" s="1" t="n">
        <x:v>2015</x:v>
      </x:c>
      <x:c r="B25" s="1" t="str">
        <x:v>2015-10</x:v>
      </x:c>
      <x:c r="C25" s="1" t="str">
        <x:v>Resort Hotel</x:v>
      </x:c>
      <x:c r="D25" s="1" t="str">
        <x:v>Corporate</x:v>
      </x:c>
      <x:c r="E25" s="4" t="n">
        <x:v>231</x:v>
      </x:c>
      <x:c r="F25" s="4" t="n">
        <x:v>18</x:v>
      </x:c>
      <x:c r="G25" s="4" t="n">
        <x:v>213</x:v>
      </x:c>
      <x:c r="H25" s="4" t="n">
        <x:v>2</x:v>
      </x:c>
      <x:c r="I25" s="1"/>
      <x:c r="J25" s="1"/>
      <x:c r="K25" s="1"/>
      <x:c r="L25" s="1"/>
      <x:c r="M25" s="1"/>
      <x:c r="N25" s="1"/>
    </x:row>
    <x:row r="26">
      <x:c r="A26" s="1" t="n">
        <x:v>2015</x:v>
      </x:c>
      <x:c r="B26" s="1" t="str">
        <x:v>2015-10</x:v>
      </x:c>
      <x:c r="C26" s="1" t="str">
        <x:v>Resort Hotel</x:v>
      </x:c>
      <x:c r="D26" s="1" t="str">
        <x:v>Direct</x:v>
      </x:c>
      <x:c r="E26" s="4" t="n">
        <x:v>405</x:v>
      </x:c>
      <x:c r="F26" s="4" t="n">
        <x:v>112</x:v>
      </x:c>
      <x:c r="G26" s="4" t="n">
        <x:v>293</x:v>
      </x:c>
      <x:c r="H26" s="4" t="n">
        <x:v>5</x:v>
      </x:c>
      <x:c r="I26" s="1"/>
      <x:c r="J26" s="1"/>
      <x:c r="K26" s="1"/>
      <x:c r="L26" s="1"/>
      <x:c r="M26" s="1"/>
      <x:c r="N26" s="1"/>
    </x:row>
    <x:row r="27">
      <x:c r="A27" s="1" t="n">
        <x:v>2015</x:v>
      </x:c>
      <x:c r="B27" s="1" t="str">
        <x:v>2015-10</x:v>
      </x:c>
      <x:c r="C27" s="1" t="str">
        <x:v>Resort Hotel</x:v>
      </x:c>
      <x:c r="D27" s="1" t="str">
        <x:v>TA/TO</x:v>
      </x:c>
      <x:c r="E27" s="4" t="n">
        <x:v>935</x:v>
      </x:c>
      <x:c r="F27" s="4" t="n">
        <x:v>281</x:v>
      </x:c>
      <x:c r="G27" s="4" t="n">
        <x:v>654</x:v>
      </x:c>
      <x:c r="H27" s="4" t="n">
        <x:v>1</x:v>
      </x:c>
      <x:c r="I27" s="1"/>
      <x:c r="J27" s="1"/>
      <x:c r="K27" s="1"/>
      <x:c r="L27" s="1"/>
      <x:c r="M27" s="1"/>
      <x:c r="N27" s="1"/>
    </x:row>
    <x:row r="28">
      <x:c r="A28" s="1" t="n">
        <x:v>2015</x:v>
      </x:c>
      <x:c r="B28" s="1" t="str">
        <x:v>2015-11</x:v>
      </x:c>
      <x:c r="C28" s="1" t="str">
        <x:v>City Hotel</x:v>
      </x:c>
      <x:c r="D28" s="1" t="str">
        <x:v>Corporate</x:v>
      </x:c>
      <x:c r="E28" s="4" t="n">
        <x:v>107</x:v>
      </x:c>
      <x:c r="F28" s="4" t="n">
        <x:v>27</x:v>
      </x:c>
      <x:c r="G28" s="4" t="n">
        <x:v>80</x:v>
      </x:c>
      <x:c r="H28" s="4" t="n">
        <x:v>2</x:v>
      </x:c>
      <x:c r="I28" s="1"/>
      <x:c r="J28" s="1"/>
      <x:c r="K28" s="1"/>
      <x:c r="L28" s="1"/>
      <x:c r="M28" s="1"/>
      <x:c r="N28" s="1"/>
    </x:row>
    <x:row r="29">
      <x:c r="A29" s="1" t="n">
        <x:v>2015</x:v>
      </x:c>
      <x:c r="B29" s="1" t="str">
        <x:v>2015-11</x:v>
      </x:c>
      <x:c r="C29" s="1" t="str">
        <x:v>City Hotel</x:v>
      </x:c>
      <x:c r="D29" s="1" t="str">
        <x:v>Direct</x:v>
      </x:c>
      <x:c r="E29" s="4" t="n">
        <x:v>124</x:v>
      </x:c>
      <x:c r="F29" s="4" t="n">
        <x:v>29</x:v>
      </x:c>
      <x:c r="G29" s="4" t="n">
        <x:v>95</x:v>
      </x:c>
      <x:c r="H29" s="4" t="n">
        <x:v>4</x:v>
      </x:c>
      <x:c r="I29" s="1"/>
      <x:c r="J29" s="1"/>
      <x:c r="K29" s="1"/>
      <x:c r="L29" s="1"/>
      <x:c r="M29" s="1"/>
      <x:c r="N29" s="1"/>
    </x:row>
    <x:row r="30">
      <x:c r="A30" s="1" t="n">
        <x:v>2015</x:v>
      </x:c>
      <x:c r="B30" s="1" t="str">
        <x:v>2015-11</x:v>
      </x:c>
      <x:c r="C30" s="1" t="str">
        <x:v>City Hotel</x:v>
      </x:c>
      <x:c r="D30" s="1" t="str">
        <x:v>TA/TO</x:v>
      </x:c>
      <x:c r="E30" s="4" t="n">
        <x:v>1004</x:v>
      </x:c>
      <x:c r="F30" s="4" t="n">
        <x:v>245</x:v>
      </x:c>
      <x:c r="G30" s="4" t="n">
        <x:v>759</x:v>
      </x:c>
      <x:c r="H30" s="4" t="n">
        <x:v>18</x:v>
      </x:c>
      <x:c r="I30" s="1"/>
      <x:c r="J30" s="1"/>
      <x:c r="K30" s="1"/>
      <x:c r="L30" s="1"/>
      <x:c r="M30" s="1"/>
      <x:c r="N30" s="1"/>
    </x:row>
    <x:row r="31">
      <x:c r="A31" s="1" t="n">
        <x:v>2015</x:v>
      </x:c>
      <x:c r="B31" s="1" t="str">
        <x:v>2015-11</x:v>
      </x:c>
      <x:c r="C31" s="1" t="str">
        <x:v>Resort Hotel</x:v>
      </x:c>
      <x:c r="D31" s="1" t="str">
        <x:v>Corporate</x:v>
      </x:c>
      <x:c r="E31" s="4" t="n">
        <x:v>346</x:v>
      </x:c>
      <x:c r="F31" s="4" t="n">
        <x:v>70</x:v>
      </x:c>
      <x:c r="G31" s="4" t="n">
        <x:v>276</x:v>
      </x:c>
      <x:c r="H31" s="4" t="n">
        <x:v>8</x:v>
      </x:c>
      <x:c r="I31" s="1"/>
      <x:c r="J31" s="1"/>
      <x:c r="K31" s="1"/>
      <x:c r="L31" s="1"/>
      <x:c r="M31" s="1"/>
      <x:c r="N31" s="1"/>
    </x:row>
    <x:row r="32">
      <x:c r="A32" s="1" t="n">
        <x:v>2015</x:v>
      </x:c>
      <x:c r="B32" s="1" t="str">
        <x:v>2015-11</x:v>
      </x:c>
      <x:c r="C32" s="1" t="str">
        <x:v>Resort Hotel</x:v>
      </x:c>
      <x:c r="D32" s="1" t="str">
        <x:v>Direct</x:v>
      </x:c>
      <x:c r="E32" s="4" t="n">
        <x:v>160</x:v>
      </x:c>
      <x:c r="F32" s="4" t="n">
        <x:v>11</x:v>
      </x:c>
      <x:c r="G32" s="4" t="n">
        <x:v>149</x:v>
      </x:c>
      <x:c r="H32" s="4" t="n">
        <x:v>1</x:v>
      </x:c>
      <x:c r="I32" s="1"/>
      <x:c r="J32" s="1"/>
      <x:c r="K32" s="1"/>
      <x:c r="L32" s="1"/>
      <x:c r="M32" s="1"/>
      <x:c r="N32" s="1"/>
    </x:row>
    <x:row r="33">
      <x:c r="A33" s="1" t="n">
        <x:v>2015</x:v>
      </x:c>
      <x:c r="B33" s="1" t="str">
        <x:v>2015-11</x:v>
      </x:c>
      <x:c r="C33" s="1" t="str">
        <x:v>Resort Hotel</x:v>
      </x:c>
      <x:c r="D33" s="1" t="str">
        <x:v>TA/TO</x:v>
      </x:c>
      <x:c r="E33" s="4" t="n">
        <x:v>599</x:v>
      </x:c>
      <x:c r="F33" s="4" t="n">
        <x:v>104</x:v>
      </x:c>
      <x:c r="G33" s="4" t="n">
        <x:v>495</x:v>
      </x:c>
      <x:c r="H33" s="4" t="n">
        <x:v>6</x:v>
      </x:c>
      <x:c r="I33" s="1"/>
      <x:c r="J33" s="1"/>
      <x:c r="K33" s="1"/>
      <x:c r="L33" s="1"/>
      <x:c r="M33" s="1"/>
      <x:c r="N33" s="1"/>
    </x:row>
    <x:row r="34">
      <x:c r="A34" s="1" t="n">
        <x:v>2015</x:v>
      </x:c>
      <x:c r="B34" s="1" t="str">
        <x:v>2015-12</x:v>
      </x:c>
      <x:c r="C34" s="1" t="str">
        <x:v>City Hotel</x:v>
      </x:c>
      <x:c r="D34" s="1" t="str">
        <x:v>Corporate</x:v>
      </x:c>
      <x:c r="E34" s="4" t="n">
        <x:v>107</x:v>
      </x:c>
      <x:c r="F34" s="4" t="n">
        <x:v>12</x:v>
      </x:c>
      <x:c r="G34" s="4" t="n">
        <x:v>95</x:v>
      </x:c>
      <x:c r="H34" s="4" t="n">
        <x:v>3</x:v>
      </x:c>
      <x:c r="I34" s="1"/>
      <x:c r="J34" s="1"/>
      <x:c r="K34" s="1"/>
      <x:c r="L34" s="1"/>
      <x:c r="M34" s="1"/>
      <x:c r="N34" s="1"/>
    </x:row>
    <x:row r="35">
      <x:c r="A35" s="1" t="n">
        <x:v>2015</x:v>
      </x:c>
      <x:c r="B35" s="1" t="str">
        <x:v>2015-12</x:v>
      </x:c>
      <x:c r="C35" s="1" t="str">
        <x:v>City Hotel</x:v>
      </x:c>
      <x:c r="D35" s="1" t="str">
        <x:v>Direct</x:v>
      </x:c>
      <x:c r="E35" s="4" t="n">
        <x:v>225</x:v>
      </x:c>
      <x:c r="F35" s="4" t="n">
        <x:v>45</x:v>
      </x:c>
      <x:c r="G35" s="4" t="n">
        <x:v>180</x:v>
      </x:c>
      <x:c r="H35" s="4" t="n">
        <x:v>10</x:v>
      </x:c>
      <x:c r="I35" s="1"/>
      <x:c r="J35" s="1"/>
      <x:c r="K35" s="1"/>
      <x:c r="L35" s="1"/>
      <x:c r="M35" s="1"/>
      <x:c r="N35" s="1"/>
    </x:row>
    <x:row r="36">
      <x:c r="A36" s="1" t="n">
        <x:v>2015</x:v>
      </x:c>
      <x:c r="B36" s="1" t="str">
        <x:v>2015-12</x:v>
      </x:c>
      <x:c r="C36" s="1" t="str">
        <x:v>City Hotel</x:v>
      </x:c>
      <x:c r="D36" s="1" t="str">
        <x:v>TA/TO</x:v>
      </x:c>
      <x:c r="E36" s="4" t="n">
        <x:v>1322</x:v>
      </x:c>
      <x:c r="F36" s="4" t="n">
        <x:v>611</x:v>
      </x:c>
      <x:c r="G36" s="4" t="n">
        <x:v>711</x:v>
      </x:c>
      <x:c r="H36" s="4" t="n">
        <x:v>9</x:v>
      </x:c>
      <x:c r="I36" s="1"/>
      <x:c r="J36" s="1"/>
      <x:c r="K36" s="1"/>
      <x:c r="L36" s="1"/>
      <x:c r="M36" s="1"/>
      <x:c r="N36" s="1"/>
    </x:row>
    <x:row r="37">
      <x:c r="A37" s="1" t="n">
        <x:v>2015</x:v>
      </x:c>
      <x:c r="B37" s="1" t="str">
        <x:v>2015-12</x:v>
      </x:c>
      <x:c r="C37" s="1" t="str">
        <x:v>Resort Hotel</x:v>
      </x:c>
      <x:c r="D37" s="1" t="str">
        <x:v>Corporate</x:v>
      </x:c>
      <x:c r="E37" s="4" t="n">
        <x:v>79</x:v>
      </x:c>
      <x:c r="F37" s="4" t="n">
        <x:v>1</x:v>
      </x:c>
      <x:c r="G37" s="4" t="n">
        <x:v>78</x:v>
      </x:c>
      <x:c r="H37" s="4" t="n">
        <x:v>0</x:v>
      </x:c>
      <x:c r="I37" s="1"/>
      <x:c r="J37" s="1"/>
      <x:c r="K37" s="1"/>
      <x:c r="L37" s="1"/>
      <x:c r="M37" s="1"/>
      <x:c r="N37" s="1"/>
    </x:row>
    <x:row r="38">
      <x:c r="A38" s="1" t="n">
        <x:v>2015</x:v>
      </x:c>
      <x:c r="B38" s="1" t="str">
        <x:v>2015-12</x:v>
      </x:c>
      <x:c r="C38" s="1" t="str">
        <x:v>Resort Hotel</x:v>
      </x:c>
      <x:c r="D38" s="1" t="str">
        <x:v>Direct</x:v>
      </x:c>
      <x:c r="E38" s="4" t="n">
        <x:v>285</x:v>
      </x:c>
      <x:c r="F38" s="4" t="n">
        <x:v>50</x:v>
      </x:c>
      <x:c r="G38" s="4" t="n">
        <x:v>235</x:v>
      </x:c>
      <x:c r="H38" s="4" t="n">
        <x:v>7</x:v>
      </x:c>
      <x:c r="I38" s="1"/>
      <x:c r="J38" s="1"/>
      <x:c r="K38" s="1"/>
      <x:c r="L38" s="1"/>
      <x:c r="M38" s="1"/>
      <x:c r="N38" s="1"/>
    </x:row>
    <x:row r="39">
      <x:c r="A39" s="1" t="n">
        <x:v>2015</x:v>
      </x:c>
      <x:c r="B39" s="1" t="str">
        <x:v>2015-12</x:v>
      </x:c>
      <x:c r="C39" s="1" t="str">
        <x:v>Resort Hotel</x:v>
      </x:c>
      <x:c r="D39" s="1" t="str">
        <x:v>TA/TO</x:v>
      </x:c>
      <x:c r="E39" s="4" t="n">
        <x:v>902</x:v>
      </x:c>
      <x:c r="F39" s="4" t="n">
        <x:v>254</x:v>
      </x:c>
      <x:c r="G39" s="4" t="n">
        <x:v>648</x:v>
      </x:c>
      <x:c r="H39" s="4" t="n">
        <x:v>20</x:v>
      </x:c>
      <x:c r="I39" s="1"/>
      <x:c r="J39" s="1"/>
      <x:c r="K39" s="1"/>
      <x:c r="L39" s="1"/>
      <x:c r="M39" s="1"/>
      <x:c r="N39" s="1"/>
    </x:row>
    <x:row r="40">
      <x:c r="A40" s="1" t="n">
        <x:v>2016</x:v>
      </x:c>
      <x:c r="B40" s="1" t="str">
        <x:v>2016-01</x:v>
      </x:c>
      <x:c r="C40" s="1" t="str">
        <x:v>City Hotel</x:v>
      </x:c>
      <x:c r="D40" s="1" t="str">
        <x:v>Corporate</x:v>
      </x:c>
      <x:c r="E40" s="4" t="n">
        <x:v>113</x:v>
      </x:c>
      <x:c r="F40" s="4" t="n">
        <x:v>13</x:v>
      </x:c>
      <x:c r="G40" s="4" t="n">
        <x:v>100</x:v>
      </x:c>
      <x:c r="H40" s="4" t="n">
        <x:v>2</x:v>
      </x:c>
      <x:c r="I40" s="1"/>
      <x:c r="J40" s="1"/>
      <x:c r="K40" s="1"/>
      <x:c r="L40" s="1"/>
      <x:c r="M40" s="1"/>
      <x:c r="N40" s="1"/>
    </x:row>
    <x:row r="41">
      <x:c r="A41" s="1" t="n">
        <x:v>2016</x:v>
      </x:c>
      <x:c r="B41" s="1" t="str">
        <x:v>2016-01</x:v>
      </x:c>
      <x:c r="C41" s="1" t="str">
        <x:v>City Hotel</x:v>
      </x:c>
      <x:c r="D41" s="1" t="str">
        <x:v>Direct</x:v>
      </x:c>
      <x:c r="E41" s="4" t="n">
        <x:v>171</x:v>
      </x:c>
      <x:c r="F41" s="4" t="n">
        <x:v>25</x:v>
      </x:c>
      <x:c r="G41" s="4" t="n">
        <x:v>146</x:v>
      </x:c>
      <x:c r="H41" s="4" t="n">
        <x:v>9</x:v>
      </x:c>
      <x:c r="I41" s="1"/>
      <x:c r="J41" s="1"/>
      <x:c r="K41" s="1"/>
      <x:c r="L41" s="1"/>
      <x:c r="M41" s="1"/>
      <x:c r="N41" s="1"/>
    </x:row>
    <x:row r="42">
      <x:c r="A42" s="1" t="n">
        <x:v>2016</x:v>
      </x:c>
      <x:c r="B42" s="1" t="str">
        <x:v>2016-01</x:v>
      </x:c>
      <x:c r="C42" s="1" t="str">
        <x:v>City Hotel</x:v>
      </x:c>
      <x:c r="D42" s="1" t="str">
        <x:v>TA/TO</x:v>
      </x:c>
      <x:c r="E42" s="4" t="n">
        <x:v>1080</x:v>
      </x:c>
      <x:c r="F42" s="4" t="n">
        <x:v>400</x:v>
      </x:c>
      <x:c r="G42" s="4" t="n">
        <x:v>680</x:v>
      </x:c>
      <x:c r="H42" s="4" t="n">
        <x:v>29</x:v>
      </x:c>
      <x:c r="I42" s="1"/>
      <x:c r="J42" s="1"/>
      <x:c r="K42" s="1"/>
      <x:c r="L42" s="1"/>
      <x:c r="M42" s="1"/>
      <x:c r="N42" s="1"/>
    </x:row>
    <x:row r="43">
      <x:c r="A43" s="1" t="n">
        <x:v>2016</x:v>
      </x:c>
      <x:c r="B43" s="1" t="str">
        <x:v>2016-01</x:v>
      </x:c>
      <x:c r="C43" s="1" t="str">
        <x:v>Resort Hotel</x:v>
      </x:c>
      <x:c r="D43" s="1" t="str">
        <x:v>Corporate</x:v>
      </x:c>
      <x:c r="E43" s="4" t="n">
        <x:v>98</x:v>
      </x:c>
      <x:c r="F43" s="4" t="n">
        <x:v>9</x:v>
      </x:c>
      <x:c r="G43" s="4" t="n">
        <x:v>89</x:v>
      </x:c>
      <x:c r="H43" s="4" t="n">
        <x:v>0</x:v>
      </x:c>
      <x:c r="I43" s="1"/>
      <x:c r="J43" s="1"/>
      <x:c r="K43" s="1"/>
      <x:c r="L43" s="1"/>
      <x:c r="M43" s="1"/>
      <x:c r="N43" s="1"/>
    </x:row>
    <x:row r="44">
      <x:c r="A44" s="1" t="n">
        <x:v>2016</x:v>
      </x:c>
      <x:c r="B44" s="1" t="str">
        <x:v>2016-01</x:v>
      </x:c>
      <x:c r="C44" s="1" t="str">
        <x:v>Resort Hotel</x:v>
      </x:c>
      <x:c r="D44" s="1" t="str">
        <x:v>Direct</x:v>
      </x:c>
      <x:c r="E44" s="4" t="n">
        <x:v>261</x:v>
      </x:c>
      <x:c r="F44" s="4" t="n">
        <x:v>32</x:v>
      </x:c>
      <x:c r="G44" s="4" t="n">
        <x:v>229</x:v>
      </x:c>
      <x:c r="H44" s="4" t="n">
        <x:v>1</x:v>
      </x:c>
      <x:c r="I44" s="1"/>
      <x:c r="J44" s="1"/>
      <x:c r="K44" s="1"/>
      <x:c r="L44" s="1"/>
      <x:c r="M44" s="1"/>
      <x:c r="N44" s="1"/>
    </x:row>
    <x:row r="45">
      <x:c r="A45" s="1" t="n">
        <x:v>2016</x:v>
      </x:c>
      <x:c r="B45" s="1" t="str">
        <x:v>2016-01</x:v>
      </x:c>
      <x:c r="C45" s="1" t="str">
        <x:v>Resort Hotel</x:v>
      </x:c>
      <x:c r="D45" s="1" t="str">
        <x:v>TA/TO</x:v>
      </x:c>
      <x:c r="E45" s="4" t="n">
        <x:v>525</x:v>
      </x:c>
      <x:c r="F45" s="4" t="n">
        <x:v>78</x:v>
      </x:c>
      <x:c r="G45" s="4" t="n">
        <x:v>447</x:v>
      </x:c>
      <x:c r="H45" s="4" t="n">
        <x:v>9</x:v>
      </x:c>
      <x:c r="I45" s="1"/>
      <x:c r="J45" s="1"/>
      <x:c r="K45" s="1"/>
      <x:c r="L45" s="1"/>
      <x:c r="M45" s="1"/>
      <x:c r="N45" s="1"/>
    </x:row>
    <x:row r="46">
      <x:c r="A46" s="1" t="n">
        <x:v>2016</x:v>
      </x:c>
      <x:c r="B46" s="1" t="str">
        <x:v>2016-02</x:v>
      </x:c>
      <x:c r="C46" s="1" t="str">
        <x:v>City Hotel</x:v>
      </x:c>
      <x:c r="D46" s="1" t="str">
        <x:v>Corporate</x:v>
      </x:c>
      <x:c r="E46" s="4" t="n">
        <x:v>183</x:v>
      </x:c>
      <x:c r="F46" s="4" t="n">
        <x:v>79</x:v>
      </x:c>
      <x:c r="G46" s="4" t="n">
        <x:v>104</x:v>
      </x:c>
      <x:c r="H46" s="4" t="n">
        <x:v>2</x:v>
      </x:c>
      <x:c r="I46" s="1"/>
      <x:c r="J46" s="1"/>
      <x:c r="K46" s="1"/>
      <x:c r="L46" s="1"/>
      <x:c r="M46" s="1"/>
      <x:c r="N46" s="1"/>
    </x:row>
    <x:row r="47">
      <x:c r="A47" s="1" t="n">
        <x:v>2016</x:v>
      </x:c>
      <x:c r="B47" s="1" t="str">
        <x:v>2016-02</x:v>
      </x:c>
      <x:c r="C47" s="1" t="str">
        <x:v>City Hotel</x:v>
      </x:c>
      <x:c r="D47" s="1" t="str">
        <x:v>Direct</x:v>
      </x:c>
      <x:c r="E47" s="4" t="n">
        <x:v>256</x:v>
      </x:c>
      <x:c r="F47" s="4" t="n">
        <x:v>40</x:v>
      </x:c>
      <x:c r="G47" s="4" t="n">
        <x:v>216</x:v>
      </x:c>
      <x:c r="H47" s="4" t="n">
        <x:v>17</x:v>
      </x:c>
      <x:c r="I47" s="1"/>
      <x:c r="J47" s="1"/>
      <x:c r="K47" s="1"/>
      <x:c r="L47" s="1"/>
      <x:c r="M47" s="1"/>
      <x:c r="N47" s="1"/>
    </x:row>
    <x:row r="48">
      <x:c r="A48" s="1" t="n">
        <x:v>2016</x:v>
      </x:c>
      <x:c r="B48" s="1" t="str">
        <x:v>2016-02</x:v>
      </x:c>
      <x:c r="C48" s="1" t="str">
        <x:v>City Hotel</x:v>
      </x:c>
      <x:c r="D48" s="1" t="str">
        <x:v>GDS</x:v>
      </x:c>
      <x:c r="E48" s="4" t="n">
        <x:v>4</x:v>
      </x:c>
      <x:c r="F48" s="4" t="n">
        <x:v>0</x:v>
      </x:c>
      <x:c r="G48" s="4" t="n">
        <x:v>4</x:v>
      </x:c>
      <x:c r="H48" s="4" t="n">
        <x:v>0</x:v>
      </x:c>
      <x:c r="I48" s="1"/>
      <x:c r="J48" s="1"/>
      <x:c r="K48" s="1"/>
      <x:c r="L48" s="1"/>
      <x:c r="M48" s="1"/>
      <x:c r="N48" s="1"/>
    </x:row>
    <x:row r="49">
      <x:c r="A49" s="1" t="n">
        <x:v>2016</x:v>
      </x:c>
      <x:c r="B49" s="1" t="str">
        <x:v>2016-02</x:v>
      </x:c>
      <x:c r="C49" s="1" t="str">
        <x:v>City Hotel</x:v>
      </x:c>
      <x:c r="D49" s="1" t="str">
        <x:v>TA/TO</x:v>
      </x:c>
      <x:c r="E49" s="4" t="n">
        <x:v>1928</x:v>
      </x:c>
      <x:c r="F49" s="4" t="n">
        <x:v>811</x:v>
      </x:c>
      <x:c r="G49" s="4" t="n">
        <x:v>1117</x:v>
      </x:c>
      <x:c r="H49" s="4" t="n">
        <x:v>115</x:v>
      </x:c>
      <x:c r="I49" s="1"/>
      <x:c r="J49" s="1"/>
      <x:c r="K49" s="1"/>
      <x:c r="L49" s="1"/>
      <x:c r="M49" s="1"/>
      <x:c r="N49" s="1"/>
    </x:row>
    <x:row r="50">
      <x:c r="A50" s="1" t="n">
        <x:v>2016</x:v>
      </x:c>
      <x:c r="B50" s="1" t="str">
        <x:v>2016-02</x:v>
      </x:c>
      <x:c r="C50" s="1" t="str">
        <x:v>Resort Hotel</x:v>
      </x:c>
      <x:c r="D50" s="1" t="str">
        <x:v>Corporate</x:v>
      </x:c>
      <x:c r="E50" s="4" t="n">
        <x:v>116</x:v>
      </x:c>
      <x:c r="F50" s="4" t="n">
        <x:v>7</x:v>
      </x:c>
      <x:c r="G50" s="4" t="n">
        <x:v>109</x:v>
      </x:c>
      <x:c r="H50" s="4" t="n">
        <x:v>0</x:v>
      </x:c>
      <x:c r="I50" s="1"/>
      <x:c r="J50" s="1"/>
      <x:c r="K50" s="1"/>
      <x:c r="L50" s="1"/>
      <x:c r="M50" s="1"/>
      <x:c r="N50" s="1"/>
    </x:row>
    <x:row r="51">
      <x:c r="A51" s="1" t="n">
        <x:v>2016</x:v>
      </x:c>
      <x:c r="B51" s="1" t="str">
        <x:v>2016-02</x:v>
      </x:c>
      <x:c r="C51" s="1" t="str">
        <x:v>Resort Hotel</x:v>
      </x:c>
      <x:c r="D51" s="1" t="str">
        <x:v>Direct</x:v>
      </x:c>
      <x:c r="E51" s="4" t="n">
        <x:v>354</x:v>
      </x:c>
      <x:c r="F51" s="4" t="n">
        <x:v>45</x:v>
      </x:c>
      <x:c r="G51" s="4" t="n">
        <x:v>309</x:v>
      </x:c>
      <x:c r="H51" s="4" t="n">
        <x:v>4</x:v>
      </x:c>
      <x:c r="I51" s="1"/>
      <x:c r="J51" s="1"/>
      <x:c r="K51" s="1"/>
      <x:c r="L51" s="1"/>
      <x:c r="M51" s="1"/>
      <x:c r="N51" s="1"/>
    </x:row>
    <x:row r="52">
      <x:c r="A52" s="1" t="n">
        <x:v>2016</x:v>
      </x:c>
      <x:c r="B52" s="1" t="str">
        <x:v>2016-02</x:v>
      </x:c>
      <x:c r="C52" s="1" t="str">
        <x:v>Resort Hotel</x:v>
      </x:c>
      <x:c r="D52" s="1" t="str">
        <x:v>TA/TO</x:v>
      </x:c>
      <x:c r="E52" s="4" t="n">
        <x:v>1050</x:v>
      </x:c>
      <x:c r="F52" s="4" t="n">
        <x:v>355</x:v>
      </x:c>
      <x:c r="G52" s="4" t="n">
        <x:v>695</x:v>
      </x:c>
      <x:c r="H52" s="4" t="n">
        <x:v>7</x:v>
      </x:c>
      <x:c r="I52" s="1"/>
      <x:c r="J52" s="1"/>
      <x:c r="K52" s="1"/>
      <x:c r="L52" s="1"/>
      <x:c r="M52" s="1"/>
      <x:c r="N52" s="1"/>
    </x:row>
    <x:row r="53">
      <x:c r="A53" s="1" t="n">
        <x:v>2016</x:v>
      </x:c>
      <x:c r="B53" s="1" t="str">
        <x:v>2016-03</x:v>
      </x:c>
      <x:c r="C53" s="1" t="str">
        <x:v>City Hotel</x:v>
      </x:c>
      <x:c r="D53" s="1" t="str">
        <x:v>Corporate</x:v>
      </x:c>
      <x:c r="E53" s="4" t="n">
        <x:v>135</x:v>
      </x:c>
      <x:c r="F53" s="4" t="n">
        <x:v>12</x:v>
      </x:c>
      <x:c r="G53" s="4" t="n">
        <x:v>123</x:v>
      </x:c>
      <x:c r="H53" s="4" t="n">
        <x:v>1</x:v>
      </x:c>
      <x:c r="I53" s="1"/>
      <x:c r="J53" s="1"/>
      <x:c r="K53" s="1"/>
      <x:c r="L53" s="1"/>
      <x:c r="M53" s="1"/>
      <x:c r="N53" s="1"/>
    </x:row>
    <x:row r="54">
      <x:c r="A54" s="1" t="n">
        <x:v>2016</x:v>
      </x:c>
      <x:c r="B54" s="1" t="str">
        <x:v>2016-03</x:v>
      </x:c>
      <x:c r="C54" s="1" t="str">
        <x:v>City Hotel</x:v>
      </x:c>
      <x:c r="D54" s="1" t="str">
        <x:v>Direct</x:v>
      </x:c>
      <x:c r="E54" s="4" t="n">
        <x:v>261</x:v>
      </x:c>
      <x:c r="F54" s="4" t="n">
        <x:v>30</x:v>
      </x:c>
      <x:c r="G54" s="4" t="n">
        <x:v>231</x:v>
      </x:c>
      <x:c r="H54" s="4" t="n">
        <x:v>10</x:v>
      </x:c>
      <x:c r="I54" s="1"/>
      <x:c r="J54" s="1"/>
      <x:c r="K54" s="1"/>
      <x:c r="L54" s="1"/>
      <x:c r="M54" s="1"/>
      <x:c r="N54" s="1"/>
    </x:row>
    <x:row r="55">
      <x:c r="A55" s="1" t="n">
        <x:v>2016</x:v>
      </x:c>
      <x:c r="B55" s="1" t="str">
        <x:v>2016-03</x:v>
      </x:c>
      <x:c r="C55" s="1" t="str">
        <x:v>City Hotel</x:v>
      </x:c>
      <x:c r="D55" s="1" t="str">
        <x:v>GDS</x:v>
      </x:c>
      <x:c r="E55" s="4" t="n">
        <x:v>6</x:v>
      </x:c>
      <x:c r="F55" s="4" t="n">
        <x:v>0</x:v>
      </x:c>
      <x:c r="G55" s="4" t="n">
        <x:v>6</x:v>
      </x:c>
      <x:c r="H55" s="4" t="n">
        <x:v>0</x:v>
      </x:c>
      <x:c r="I55" s="1"/>
      <x:c r="J55" s="1"/>
      <x:c r="K55" s="1"/>
      <x:c r="L55" s="1"/>
      <x:c r="M55" s="1"/>
      <x:c r="N55" s="1"/>
    </x:row>
    <x:row r="56">
      <x:c r="A56" s="1" t="n">
        <x:v>2016</x:v>
      </x:c>
      <x:c r="B56" s="1" t="str">
        <x:v>2016-03</x:v>
      </x:c>
      <x:c r="C56" s="1" t="str">
        <x:v>City Hotel</x:v>
      </x:c>
      <x:c r="D56" s="1" t="str">
        <x:v>TA/TO</x:v>
      </x:c>
      <x:c r="E56" s="4" t="n">
        <x:v>2644</x:v>
      </x:c>
      <x:c r="F56" s="4" t="n">
        <x:v>1066</x:v>
      </x:c>
      <x:c r="G56" s="4" t="n">
        <x:v>1578</x:v>
      </x:c>
      <x:c r="H56" s="4" t="n">
        <x:v>42</x:v>
      </x:c>
      <x:c r="I56" s="1"/>
      <x:c r="J56" s="1"/>
      <x:c r="K56" s="1"/>
      <x:c r="L56" s="1"/>
      <x:c r="M56" s="1"/>
      <x:c r="N56" s="1"/>
    </x:row>
    <x:row r="57">
      <x:c r="A57" s="1" t="n">
        <x:v>2016</x:v>
      </x:c>
      <x:c r="B57" s="1" t="str">
        <x:v>2016-03</x:v>
      </x:c>
      <x:c r="C57" s="1" t="str">
        <x:v>Resort Hotel</x:v>
      </x:c>
      <x:c r="D57" s="1" t="str">
        <x:v>Corporate</x:v>
      </x:c>
      <x:c r="E57" s="4" t="n">
        <x:v>112</x:v>
      </x:c>
      <x:c r="F57" s="4" t="n">
        <x:v>10</x:v>
      </x:c>
      <x:c r="G57" s="4" t="n">
        <x:v>102</x:v>
      </x:c>
      <x:c r="H57" s="4" t="n">
        <x:v>5</x:v>
      </x:c>
      <x:c r="I57" s="1"/>
      <x:c r="J57" s="1"/>
      <x:c r="K57" s="1"/>
      <x:c r="L57" s="1"/>
      <x:c r="M57" s="1"/>
      <x:c r="N57" s="1"/>
    </x:row>
    <x:row r="58">
      <x:c r="A58" s="1" t="n">
        <x:v>2016</x:v>
      </x:c>
      <x:c r="B58" s="1" t="str">
        <x:v>2016-03</x:v>
      </x:c>
      <x:c r="C58" s="1" t="str">
        <x:v>Resort Hotel</x:v>
      </x:c>
      <x:c r="D58" s="1" t="str">
        <x:v>Direct</x:v>
      </x:c>
      <x:c r="E58" s="4" t="n">
        <x:v>456</x:v>
      </x:c>
      <x:c r="F58" s="4" t="n">
        <x:v>91</x:v>
      </x:c>
      <x:c r="G58" s="4" t="n">
        <x:v>365</x:v>
      </x:c>
      <x:c r="H58" s="4" t="n">
        <x:v>5</x:v>
      </x:c>
      <x:c r="I58" s="1"/>
      <x:c r="J58" s="1"/>
      <x:c r="K58" s="1"/>
      <x:c r="L58" s="1"/>
      <x:c r="M58" s="1"/>
      <x:c r="N58" s="1"/>
    </x:row>
    <x:row r="59">
      <x:c r="A59" s="1" t="n">
        <x:v>2016</x:v>
      </x:c>
      <x:c r="B59" s="1" t="str">
        <x:v>2016-03</x:v>
      </x:c>
      <x:c r="C59" s="1" t="str">
        <x:v>Resort Hotel</x:v>
      </x:c>
      <x:c r="D59" s="1" t="str">
        <x:v>TA/TO</x:v>
      </x:c>
      <x:c r="E59" s="4" t="n">
        <x:v>1210</x:v>
      </x:c>
      <x:c r="F59" s="4" t="n">
        <x:v>268</x:v>
      </x:c>
      <x:c r="G59" s="4" t="n">
        <x:v>942</x:v>
      </x:c>
      <x:c r="H59" s="4" t="n">
        <x:v>8</x:v>
      </x:c>
      <x:c r="I59" s="1"/>
      <x:c r="J59" s="1"/>
      <x:c r="K59" s="1"/>
      <x:c r="L59" s="1"/>
      <x:c r="M59" s="1"/>
      <x:c r="N59" s="1"/>
    </x:row>
    <x:row r="60">
      <x:c r="A60" s="1" t="n">
        <x:v>2016</x:v>
      </x:c>
      <x:c r="B60" s="1" t="str">
        <x:v>2016-04</x:v>
      </x:c>
      <x:c r="C60" s="1" t="str">
        <x:v>City Hotel</x:v>
      </x:c>
      <x:c r="D60" s="1" t="str">
        <x:v>Corporate</x:v>
      </x:c>
      <x:c r="E60" s="4" t="n">
        <x:v>97</x:v>
      </x:c>
      <x:c r="F60" s="4" t="n">
        <x:v>12</x:v>
      </x:c>
      <x:c r="G60" s="4" t="n">
        <x:v>85</x:v>
      </x:c>
      <x:c r="H60" s="4" t="n">
        <x:v>3</x:v>
      </x:c>
      <x:c r="I60" s="1"/>
      <x:c r="J60" s="1"/>
      <x:c r="K60" s="1"/>
      <x:c r="L60" s="1"/>
      <x:c r="M60" s="1"/>
      <x:c r="N60" s="1"/>
    </x:row>
    <x:row r="61">
      <x:c r="A61" t="n">
        <x:v>2016</x:v>
      </x:c>
      <x:c r="B61" t="str">
        <x:v>2016-04</x:v>
      </x:c>
      <x:c r="C61" t="str">
        <x:v>City Hotel</x:v>
      </x:c>
      <x:c r="D61" t="str">
        <x:v>Direct</x:v>
      </x:c>
      <x:c r="E61" s="5" t="n">
        <x:v>201</x:v>
      </x:c>
      <x:c r="F61" s="5" t="n">
        <x:v>34</x:v>
      </x:c>
      <x:c r="G61" s="5" t="n">
        <x:v>167</x:v>
      </x:c>
      <x:c r="H61" s="5" t="n">
        <x:v>3</x:v>
      </x:c>
    </x:row>
    <x:row r="62">
      <x:c r="A62" t="n">
        <x:v>2016</x:v>
      </x:c>
      <x:c r="B62" t="str">
        <x:v>2016-04</x:v>
      </x:c>
      <x:c r="C62" t="str">
        <x:v>City Hotel</x:v>
      </x:c>
      <x:c r="D62" t="str">
        <x:v>GDS</x:v>
      </x:c>
      <x:c r="E62" s="5" t="n">
        <x:v>6</x:v>
      </x:c>
      <x:c r="F62" s="5" t="n">
        <x:v>1</x:v>
      </x:c>
      <x:c r="G62" s="5" t="n">
        <x:v>5</x:v>
      </x:c>
      <x:c r="H62" s="5" t="n">
        <x:v>0</x:v>
      </x:c>
    </x:row>
    <x:row r="63">
      <x:c r="A63" t="n">
        <x:v>2016</x:v>
      </x:c>
      <x:c r="B63" t="str">
        <x:v>2016-04</x:v>
      </x:c>
      <x:c r="C63" t="str">
        <x:v>City Hotel</x:v>
      </x:c>
      <x:c r="D63" t="str">
        <x:v>TA/TO</x:v>
      </x:c>
      <x:c r="E63" s="5" t="n">
        <x:v>3257</x:v>
      </x:c>
      <x:c r="F63" s="5" t="n">
        <x:v>1492</x:v>
      </x:c>
      <x:c r="G63" s="5" t="n">
        <x:v>1765</x:v>
      </x:c>
      <x:c r="H63" s="5" t="n">
        <x:v>41</x:v>
      </x:c>
    </x:row>
    <x:row r="64">
      <x:c r="A64" t="n">
        <x:v>2016</x:v>
      </x:c>
      <x:c r="B64" t="str">
        <x:v>2016-04</x:v>
      </x:c>
      <x:c r="C64" t="str">
        <x:v>Resort Hotel</x:v>
      </x:c>
      <x:c r="D64" t="str">
        <x:v>Corporate</x:v>
      </x:c>
      <x:c r="E64" s="5" t="n">
        <x:v>139</x:v>
      </x:c>
      <x:c r="F64" s="5" t="n">
        <x:v>14</x:v>
      </x:c>
      <x:c r="G64" s="5" t="n">
        <x:v>125</x:v>
      </x:c>
      <x:c r="H64" s="5" t="n">
        <x:v>1</x:v>
      </x:c>
    </x:row>
    <x:row r="65">
      <x:c r="A65" t="n">
        <x:v>2016</x:v>
      </x:c>
      <x:c r="B65" t="str">
        <x:v>2016-04</x:v>
      </x:c>
      <x:c r="C65" t="str">
        <x:v>Resort Hotel</x:v>
      </x:c>
      <x:c r="D65" t="str">
        <x:v>Direct</x:v>
      </x:c>
      <x:c r="E65" s="5" t="n">
        <x:v>424</x:v>
      </x:c>
      <x:c r="F65" s="5" t="n">
        <x:v>111</x:v>
      </x:c>
      <x:c r="G65" s="5" t="n">
        <x:v>313</x:v>
      </x:c>
      <x:c r="H65" s="5" t="n">
        <x:v>3</x:v>
      </x:c>
    </x:row>
    <x:row r="66">
      <x:c r="A66" t="n">
        <x:v>2016</x:v>
      </x:c>
      <x:c r="B66" t="str">
        <x:v>2016-04</x:v>
      </x:c>
      <x:c r="C66" t="str">
        <x:v>Resort Hotel</x:v>
      </x:c>
      <x:c r="D66" t="str">
        <x:v>TA/TO</x:v>
      </x:c>
      <x:c r="E66" s="5" t="n">
        <x:v>1304</x:v>
      </x:c>
      <x:c r="F66" s="5" t="n">
        <x:v>397</x:v>
      </x:c>
      <x:c r="G66" s="5" t="n">
        <x:v>907</x:v>
      </x:c>
      <x:c r="H66" s="5" t="n">
        <x:v>3</x:v>
      </x:c>
    </x:row>
    <x:row r="67">
      <x:c r="A67" t="n">
        <x:v>2016</x:v>
      </x:c>
      <x:c r="B67" t="str">
        <x:v>2016-05</x:v>
      </x:c>
      <x:c r="C67" t="str">
        <x:v>City Hotel</x:v>
      </x:c>
      <x:c r="D67" t="str">
        <x:v>Corporate</x:v>
      </x:c>
      <x:c r="E67" s="5" t="n">
        <x:v>184</x:v>
      </x:c>
      <x:c r="F67" s="5" t="n">
        <x:v>32</x:v>
      </x:c>
      <x:c r="G67" s="5" t="n">
        <x:v>152</x:v>
      </x:c>
      <x:c r="H67" s="5" t="n">
        <x:v>3</x:v>
      </x:c>
    </x:row>
    <x:row r="68">
      <x:c r="A68" t="n">
        <x:v>2016</x:v>
      </x:c>
      <x:c r="B68" t="str">
        <x:v>2016-05</x:v>
      </x:c>
      <x:c r="C68" t="str">
        <x:v>City Hotel</x:v>
      </x:c>
      <x:c r="D68" t="str">
        <x:v>Direct</x:v>
      </x:c>
      <x:c r="E68" s="5" t="n">
        <x:v>267</x:v>
      </x:c>
      <x:c r="F68" s="5" t="n">
        <x:v>55</x:v>
      </x:c>
      <x:c r="G68" s="5" t="n">
        <x:v>212</x:v>
      </x:c>
      <x:c r="H68" s="5" t="n">
        <x:v>20</x:v>
      </x:c>
    </x:row>
    <x:row r="69">
      <x:c r="A69" t="n">
        <x:v>2016</x:v>
      </x:c>
      <x:c r="B69" t="str">
        <x:v>2016-05</x:v>
      </x:c>
      <x:c r="C69" t="str">
        <x:v>City Hotel</x:v>
      </x:c>
      <x:c r="D69" t="str">
        <x:v>GDS</x:v>
      </x:c>
      <x:c r="E69" s="5" t="n">
        <x:v>9</x:v>
      </x:c>
      <x:c r="F69" s="5" t="n">
        <x:v>2</x:v>
      </x:c>
      <x:c r="G69" s="5" t="n">
        <x:v>7</x:v>
      </x:c>
      <x:c r="H69" s="5" t="n">
        <x:v>0</x:v>
      </x:c>
    </x:row>
    <x:row r="70">
      <x:c r="A70" t="n">
        <x:v>2016</x:v>
      </x:c>
      <x:c r="B70" t="str">
        <x:v>2016-05</x:v>
      </x:c>
      <x:c r="C70" t="str">
        <x:v>City Hotel</x:v>
      </x:c>
      <x:c r="D70" t="str">
        <x:v>TA/TO</x:v>
      </x:c>
      <x:c r="E70" s="5" t="n">
        <x:v>3216</x:v>
      </x:c>
      <x:c r="F70" s="5" t="n">
        <x:v>1347</x:v>
      </x:c>
      <x:c r="G70" s="5" t="n">
        <x:v>1869</x:v>
      </x:c>
      <x:c r="H70" s="5" t="n">
        <x:v>28</x:v>
      </x:c>
    </x:row>
    <x:row r="71">
      <x:c r="A71" t="n">
        <x:v>2016</x:v>
      </x:c>
      <x:c r="B71" t="str">
        <x:v>2016-05</x:v>
      </x:c>
      <x:c r="C71" t="str">
        <x:v>Resort Hotel</x:v>
      </x:c>
      <x:c r="D71" t="str">
        <x:v>Corporate</x:v>
      </x:c>
      <x:c r="E71" s="5" t="n">
        <x:v>127</x:v>
      </x:c>
      <x:c r="F71" s="5" t="n">
        <x:v>42</x:v>
      </x:c>
      <x:c r="G71" s="5" t="n">
        <x:v>85</x:v>
      </x:c>
      <x:c r="H71" s="5" t="n">
        <x:v>4</x:v>
      </x:c>
    </x:row>
    <x:row r="72">
      <x:c r="A72" t="n">
        <x:v>2016</x:v>
      </x:c>
      <x:c r="B72" t="str">
        <x:v>2016-05</x:v>
      </x:c>
      <x:c r="C72" t="str">
        <x:v>Resort Hotel</x:v>
      </x:c>
      <x:c r="D72" t="str">
        <x:v>Direct</x:v>
      </x:c>
      <x:c r="E72" s="5" t="n">
        <x:v>277</x:v>
      </x:c>
      <x:c r="F72" s="5" t="n">
        <x:v>32</x:v>
      </x:c>
      <x:c r="G72" s="5" t="n">
        <x:v>245</x:v>
      </x:c>
      <x:c r="H72" s="5" t="n">
        <x:v>3</x:v>
      </x:c>
    </x:row>
    <x:row r="73">
      <x:c r="A73" t="n">
        <x:v>2016</x:v>
      </x:c>
      <x:c r="B73" t="str">
        <x:v>2016-05</x:v>
      </x:c>
      <x:c r="C73" t="str">
        <x:v>Resort Hotel</x:v>
      </x:c>
      <x:c r="D73" t="str">
        <x:v>TA/TO</x:v>
      </x:c>
      <x:c r="E73" s="5" t="n">
        <x:v>1398</x:v>
      </x:c>
      <x:c r="F73" s="5" t="n">
        <x:v>405</x:v>
      </x:c>
      <x:c r="G73" s="5" t="n">
        <x:v>993</x:v>
      </x:c>
      <x:c r="H73" s="5" t="n">
        <x:v>7</x:v>
      </x:c>
    </x:row>
    <x:row r="74">
      <x:c r="A74" t="n">
        <x:v>2016</x:v>
      </x:c>
      <x:c r="B74" t="str">
        <x:v>2016-06</x:v>
      </x:c>
      <x:c r="C74" t="str">
        <x:v>City Hotel</x:v>
      </x:c>
      <x:c r="D74" t="str">
        <x:v>Corporate</x:v>
      </x:c>
      <x:c r="E74" s="5" t="n">
        <x:v>314</x:v>
      </x:c>
      <x:c r="F74" s="5" t="n">
        <x:v>122</x:v>
      </x:c>
      <x:c r="G74" s="5" t="n">
        <x:v>192</x:v>
      </x:c>
      <x:c r="H74" s="5" t="n">
        <x:v>2</x:v>
      </x:c>
    </x:row>
    <x:row r="75">
      <x:c r="A75" t="n">
        <x:v>2016</x:v>
      </x:c>
      <x:c r="B75" t="str">
        <x:v>2016-06</x:v>
      </x:c>
      <x:c r="C75" t="str">
        <x:v>City Hotel</x:v>
      </x:c>
      <x:c r="D75" t="str">
        <x:v>Direct</x:v>
      </x:c>
      <x:c r="E75" s="5" t="n">
        <x:v>227</x:v>
      </x:c>
      <x:c r="F75" s="5" t="n">
        <x:v>33</x:v>
      </x:c>
      <x:c r="G75" s="5" t="n">
        <x:v>194</x:v>
      </x:c>
      <x:c r="H75" s="5" t="n">
        <x:v>8</x:v>
      </x:c>
    </x:row>
    <x:row r="76">
      <x:c r="A76" t="n">
        <x:v>2016</x:v>
      </x:c>
      <x:c r="B76" t="str">
        <x:v>2016-06</x:v>
      </x:c>
      <x:c r="C76" t="str">
        <x:v>City Hotel</x:v>
      </x:c>
      <x:c r="D76" t="str">
        <x:v>GDS</x:v>
      </x:c>
      <x:c r="E76" s="5" t="n">
        <x:v>8</x:v>
      </x:c>
      <x:c r="F76" s="5" t="n">
        <x:v>1</x:v>
      </x:c>
      <x:c r="G76" s="5" t="n">
        <x:v>7</x:v>
      </x:c>
      <x:c r="H76" s="5" t="n">
        <x:v>0</x:v>
      </x:c>
    </x:row>
    <x:row r="77">
      <x:c r="A77" t="n">
        <x:v>2016</x:v>
      </x:c>
      <x:c r="B77" t="str">
        <x:v>2016-06</x:v>
      </x:c>
      <x:c r="C77" t="str">
        <x:v>City Hotel</x:v>
      </x:c>
      <x:c r="D77" t="str">
        <x:v>TA/TO</x:v>
      </x:c>
      <x:c r="E77" s="5" t="n">
        <x:v>3374</x:v>
      </x:c>
      <x:c r="F77" s="5" t="n">
        <x:v>1564</x:v>
      </x:c>
      <x:c r="G77" s="5" t="n">
        <x:v>1810</x:v>
      </x:c>
      <x:c r="H77" s="5" t="n">
        <x:v>30</x:v>
      </x:c>
    </x:row>
    <x:row r="78">
      <x:c r="A78" t="n">
        <x:v>2016</x:v>
      </x:c>
      <x:c r="B78" t="str">
        <x:v>2016-06</x:v>
      </x:c>
      <x:c r="C78" t="str">
        <x:v>Resort Hotel</x:v>
      </x:c>
      <x:c r="D78" t="str">
        <x:v>Corporate</x:v>
      </x:c>
      <x:c r="E78" s="5" t="n">
        <x:v>51</x:v>
      </x:c>
      <x:c r="F78" s="5" t="n">
        <x:v>9</x:v>
      </x:c>
      <x:c r="G78" s="5" t="n">
        <x:v>42</x:v>
      </x:c>
      <x:c r="H78" s="5" t="n">
        <x:v>0</x:v>
      </x:c>
    </x:row>
    <x:row r="79">
      <x:c r="A79" t="n">
        <x:v>2016</x:v>
      </x:c>
      <x:c r="B79" t="str">
        <x:v>2016-06</x:v>
      </x:c>
      <x:c r="C79" t="str">
        <x:v>Resort Hotel</x:v>
      </x:c>
      <x:c r="D79" t="str">
        <x:v>Direct</x:v>
      </x:c>
      <x:c r="E79" s="5" t="n">
        <x:v>221</x:v>
      </x:c>
      <x:c r="F79" s="5" t="n">
        <x:v>32</x:v>
      </x:c>
      <x:c r="G79" s="5" t="n">
        <x:v>189</x:v>
      </x:c>
      <x:c r="H79" s="5" t="n">
        <x:v>2</x:v>
      </x:c>
    </x:row>
    <x:row r="80">
      <x:c r="A80" t="n">
        <x:v>2016</x:v>
      </x:c>
      <x:c r="B80" t="str">
        <x:v>2016-06</x:v>
      </x:c>
      <x:c r="C80" t="str">
        <x:v>Resort Hotel</x:v>
      </x:c>
      <x:c r="D80" t="str">
        <x:v>TA/TO</x:v>
      </x:c>
      <x:c r="E80" s="5" t="n">
        <x:v>1097</x:v>
      </x:c>
      <x:c r="F80" s="5" t="n">
        <x:v>335</x:v>
      </x:c>
      <x:c r="G80" s="5" t="n">
        <x:v>762</x:v>
      </x:c>
      <x:c r="H80" s="5" t="n">
        <x:v>8</x:v>
      </x:c>
    </x:row>
    <x:row r="81">
      <x:c r="A81" t="n">
        <x:v>2016</x:v>
      </x:c>
      <x:c r="B81" t="str">
        <x:v>2016-07</x:v>
      </x:c>
      <x:c r="C81" t="str">
        <x:v>City Hotel</x:v>
      </x:c>
      <x:c r="D81" t="str">
        <x:v>Corporate</x:v>
      </x:c>
      <x:c r="E81" s="5" t="n">
        <x:v>115</x:v>
      </x:c>
      <x:c r="F81" s="5" t="n">
        <x:v>10</x:v>
      </x:c>
      <x:c r="G81" s="5" t="n">
        <x:v>105</x:v>
      </x:c>
      <x:c r="H81" s="5" t="n">
        <x:v>1</x:v>
      </x:c>
    </x:row>
    <x:row r="82">
      <x:c r="A82" t="n">
        <x:v>2016</x:v>
      </x:c>
      <x:c r="B82" t="str">
        <x:v>2016-07</x:v>
      </x:c>
      <x:c r="C82" t="str">
        <x:v>City Hotel</x:v>
      </x:c>
      <x:c r="D82" t="str">
        <x:v>Direct</x:v>
      </x:c>
      <x:c r="E82" s="5" t="n">
        <x:v>285</x:v>
      </x:c>
      <x:c r="F82" s="5" t="n">
        <x:v>40</x:v>
      </x:c>
      <x:c r="G82" s="5" t="n">
        <x:v>245</x:v>
      </x:c>
      <x:c r="H82" s="5" t="n">
        <x:v>5</x:v>
      </x:c>
    </x:row>
    <x:row r="83">
      <x:c r="A83" t="n">
        <x:v>2016</x:v>
      </x:c>
      <x:c r="B83" t="str">
        <x:v>2016-07</x:v>
      </x:c>
      <x:c r="C83" t="str">
        <x:v>City Hotel</x:v>
      </x:c>
      <x:c r="D83" t="str">
        <x:v>GDS</x:v>
      </x:c>
      <x:c r="E83" s="5" t="n">
        <x:v>5</x:v>
      </x:c>
      <x:c r="F83" s="5" t="n">
        <x:v>1</x:v>
      </x:c>
      <x:c r="G83" s="5" t="n">
        <x:v>4</x:v>
      </x:c>
      <x:c r="H83" s="5" t="n">
        <x:v>0</x:v>
      </x:c>
    </x:row>
    <x:row r="84">
      <x:c r="A84" t="n">
        <x:v>2016</x:v>
      </x:c>
      <x:c r="B84" t="str">
        <x:v>2016-07</x:v>
      </x:c>
      <x:c r="C84" t="str">
        <x:v>City Hotel</x:v>
      </x:c>
      <x:c r="D84" t="str">
        <x:v>TA/TO</x:v>
      </x:c>
      <x:c r="E84" s="5" t="n">
        <x:v>2726</x:v>
      </x:c>
      <x:c r="F84" s="5" t="n">
        <x:v>992</x:v>
      </x:c>
      <x:c r="G84" s="5" t="n">
        <x:v>1734</x:v>
      </x:c>
      <x:c r="H84" s="5" t="n">
        <x:v>27</x:v>
      </x:c>
    </x:row>
    <x:row r="85">
      <x:c r="A85" t="n">
        <x:v>2016</x:v>
      </x:c>
      <x:c r="B85" t="str">
        <x:v>2016-07</x:v>
      </x:c>
      <x:c r="C85" t="str">
        <x:v>Resort Hotel</x:v>
      </x:c>
      <x:c r="D85" t="str">
        <x:v>Corporate</x:v>
      </x:c>
      <x:c r="E85" s="5" t="n">
        <x:v>43</x:v>
      </x:c>
      <x:c r="F85" s="5" t="n">
        <x:v>14</x:v>
      </x:c>
      <x:c r="G85" s="5" t="n">
        <x:v>29</x:v>
      </x:c>
      <x:c r="H85" s="5" t="n">
        <x:v>0</x:v>
      </x:c>
    </x:row>
    <x:row r="86">
      <x:c r="A86" t="n">
        <x:v>2016</x:v>
      </x:c>
      <x:c r="B86" t="str">
        <x:v>2016-07</x:v>
      </x:c>
      <x:c r="C86" t="str">
        <x:v>Resort Hotel</x:v>
      </x:c>
      <x:c r="D86" t="str">
        <x:v>Direct</x:v>
      </x:c>
      <x:c r="E86" s="5" t="n">
        <x:v>266</x:v>
      </x:c>
      <x:c r="F86" s="5" t="n">
        <x:v>57</x:v>
      </x:c>
      <x:c r="G86" s="5" t="n">
        <x:v>209</x:v>
      </x:c>
      <x:c r="H86" s="5" t="n">
        <x:v>2</x:v>
      </x:c>
    </x:row>
    <x:row r="87">
      <x:c r="A87" t="n">
        <x:v>2016</x:v>
      </x:c>
      <x:c r="B87" t="str">
        <x:v>2016-07</x:v>
      </x:c>
      <x:c r="C87" t="str">
        <x:v>Resort Hotel</x:v>
      </x:c>
      <x:c r="D87" t="str">
        <x:v>TA/TO</x:v>
      </x:c>
      <x:c r="E87" s="5" t="n">
        <x:v>1132</x:v>
      </x:c>
      <x:c r="F87" s="5" t="n">
        <x:v>385</x:v>
      </x:c>
      <x:c r="G87" s="5" t="n">
        <x:v>747</x:v>
      </x:c>
      <x:c r="H87" s="5" t="n">
        <x:v>3</x:v>
      </x:c>
    </x:row>
    <x:row r="88">
      <x:c r="A88" t="n">
        <x:v>2016</x:v>
      </x:c>
      <x:c r="B88" t="str">
        <x:v>2016-08</x:v>
      </x:c>
      <x:c r="C88" t="str">
        <x:v>City Hotel</x:v>
      </x:c>
      <x:c r="D88" t="str">
        <x:v>Corporate</x:v>
      </x:c>
      <x:c r="E88" s="5" t="n">
        <x:v>59</x:v>
      </x:c>
      <x:c r="F88" s="5" t="n">
        <x:v>15</x:v>
      </x:c>
      <x:c r="G88" s="5" t="n">
        <x:v>44</x:v>
      </x:c>
      <x:c r="H88" s="5" t="n">
        <x:v>0</x:v>
      </x:c>
    </x:row>
    <x:row r="89">
      <x:c r="A89" t="n">
        <x:v>2016</x:v>
      </x:c>
      <x:c r="B89" t="str">
        <x:v>2016-08</x:v>
      </x:c>
      <x:c r="C89" t="str">
        <x:v>City Hotel</x:v>
      </x:c>
      <x:c r="D89" t="str">
        <x:v>Direct</x:v>
      </x:c>
      <x:c r="E89" s="5" t="n">
        <x:v>336</x:v>
      </x:c>
      <x:c r="F89" s="5" t="n">
        <x:v>68</x:v>
      </x:c>
      <x:c r="G89" s="5" t="n">
        <x:v>268</x:v>
      </x:c>
      <x:c r="H89" s="5" t="n">
        <x:v>5</x:v>
      </x:c>
    </x:row>
    <x:row r="90">
      <x:c r="A90" t="n">
        <x:v>2016</x:v>
      </x:c>
      <x:c r="B90" t="str">
        <x:v>2016-08</x:v>
      </x:c>
      <x:c r="C90" t="str">
        <x:v>City Hotel</x:v>
      </x:c>
      <x:c r="D90" t="str">
        <x:v>GDS</x:v>
      </x:c>
      <x:c r="E90" s="5" t="n">
        <x:v>1</x:v>
      </x:c>
      <x:c r="F90" s="5" t="n">
        <x:v>0</x:v>
      </x:c>
      <x:c r="G90" s="5" t="n">
        <x:v>1</x:v>
      </x:c>
      <x:c r="H90" s="5" t="n">
        <x:v>0</x:v>
      </x:c>
    </x:row>
    <x:row r="91">
      <x:c r="A91" t="n">
        <x:v>2016</x:v>
      </x:c>
      <x:c r="B91" t="str">
        <x:v>2016-08</x:v>
      </x:c>
      <x:c r="C91" t="str">
        <x:v>City Hotel</x:v>
      </x:c>
      <x:c r="D91" t="str">
        <x:v>TA/TO</x:v>
      </x:c>
      <x:c r="E91" s="5" t="n">
        <x:v>2982</x:v>
      </x:c>
      <x:c r="F91" s="5" t="n">
        <x:v>1164</x:v>
      </x:c>
      <x:c r="G91" s="5" t="n">
        <x:v>1818</x:v>
      </x:c>
      <x:c r="H91" s="5" t="n">
        <x:v>28</x:v>
      </x:c>
    </x:row>
    <x:row r="92">
      <x:c r="A92" t="n">
        <x:v>2016</x:v>
      </x:c>
      <x:c r="B92" t="str">
        <x:v>2016-08</x:v>
      </x:c>
      <x:c r="C92" t="str">
        <x:v>Resort Hotel</x:v>
      </x:c>
      <x:c r="D92" t="str">
        <x:v>Corporate</x:v>
      </x:c>
      <x:c r="E92" s="5" t="n">
        <x:v>10</x:v>
      </x:c>
      <x:c r="F92" s="5" t="n">
        <x:v>1</x:v>
      </x:c>
      <x:c r="G92" s="5" t="n">
        <x:v>9</x:v>
      </x:c>
      <x:c r="H92" s="5" t="n">
        <x:v>0</x:v>
      </x:c>
    </x:row>
    <x:row r="93">
      <x:c r="A93" t="n">
        <x:v>2016</x:v>
      </x:c>
      <x:c r="B93" t="str">
        <x:v>2016-08</x:v>
      </x:c>
      <x:c r="C93" t="str">
        <x:v>Resort Hotel</x:v>
      </x:c>
      <x:c r="D93" t="str">
        <x:v>Direct</x:v>
      </x:c>
      <x:c r="E93" s="5" t="n">
        <x:v>323</x:v>
      </x:c>
      <x:c r="F93" s="5" t="n">
        <x:v>62</x:v>
      </x:c>
      <x:c r="G93" s="5" t="n">
        <x:v>261</x:v>
      </x:c>
      <x:c r="H93" s="5" t="n">
        <x:v>1</x:v>
      </x:c>
    </x:row>
    <x:row r="94">
      <x:c r="A94" t="n">
        <x:v>2016</x:v>
      </x:c>
      <x:c r="B94" t="str">
        <x:v>2016-08</x:v>
      </x:c>
      <x:c r="C94" t="str">
        <x:v>Resort Hotel</x:v>
      </x:c>
      <x:c r="D94" t="str">
        <x:v>TA/TO</x:v>
      </x:c>
      <x:c r="E94" s="5" t="n">
        <x:v>1352</x:v>
      </x:c>
      <x:c r="F94" s="5" t="n">
        <x:v>515</x:v>
      </x:c>
      <x:c r="G94" s="5" t="n">
        <x:v>837</x:v>
      </x:c>
      <x:c r="H94" s="5" t="n">
        <x:v>5</x:v>
      </x:c>
    </x:row>
    <x:row r="95">
      <x:c r="A95" t="n">
        <x:v>2016</x:v>
      </x:c>
      <x:c r="B95" t="str">
        <x:v>2016-09</x:v>
      </x:c>
      <x:c r="C95" t="str">
        <x:v>City Hotel</x:v>
      </x:c>
      <x:c r="D95" t="str">
        <x:v>Corporate</x:v>
      </x:c>
      <x:c r="E95" s="5" t="n">
        <x:v>164</x:v>
      </x:c>
      <x:c r="F95" s="5" t="n">
        <x:v>27</x:v>
      </x:c>
      <x:c r="G95" s="5" t="n">
        <x:v>137</x:v>
      </x:c>
      <x:c r="H95" s="5" t="n">
        <x:v>5</x:v>
      </x:c>
    </x:row>
    <x:row r="96">
      <x:c r="A96" t="n">
        <x:v>2016</x:v>
      </x:c>
      <x:c r="B96" t="str">
        <x:v>2016-09</x:v>
      </x:c>
      <x:c r="C96" t="str">
        <x:v>City Hotel</x:v>
      </x:c>
      <x:c r="D96" t="str">
        <x:v>Direct</x:v>
      </x:c>
      <x:c r="E96" s="5" t="n">
        <x:v>270</x:v>
      </x:c>
      <x:c r="F96" s="5" t="n">
        <x:v>49</x:v>
      </x:c>
      <x:c r="G96" s="5" t="n">
        <x:v>221</x:v>
      </x:c>
      <x:c r="H96" s="5" t="n">
        <x:v>7</x:v>
      </x:c>
    </x:row>
    <x:row r="97">
      <x:c r="A97" t="n">
        <x:v>2016</x:v>
      </x:c>
      <x:c r="B97" t="str">
        <x:v>2016-09</x:v>
      </x:c>
      <x:c r="C97" t="str">
        <x:v>City Hotel</x:v>
      </x:c>
      <x:c r="D97" t="str">
        <x:v>GDS</x:v>
      </x:c>
      <x:c r="E97" s="5" t="n">
        <x:v>7</x:v>
      </x:c>
      <x:c r="F97" s="5" t="n">
        <x:v>0</x:v>
      </x:c>
      <x:c r="G97" s="5" t="n">
        <x:v>7</x:v>
      </x:c>
      <x:c r="H97" s="5" t="n">
        <x:v>0</x:v>
      </x:c>
    </x:row>
    <x:row r="98">
      <x:c r="A98" t="n">
        <x:v>2016</x:v>
      </x:c>
      <x:c r="B98" t="str">
        <x:v>2016-09</x:v>
      </x:c>
      <x:c r="C98" t="str">
        <x:v>City Hotel</x:v>
      </x:c>
      <x:c r="D98" t="str">
        <x:v>TA/TO</x:v>
      </x:c>
      <x:c r="E98" s="5" t="n">
        <x:v>3430</x:v>
      </x:c>
      <x:c r="F98" s="5" t="n">
        <x:v>1491</x:v>
      </x:c>
      <x:c r="G98" s="5" t="n">
        <x:v>1939</x:v>
      </x:c>
      <x:c r="H98" s="5" t="n">
        <x:v>14</x:v>
      </x:c>
    </x:row>
    <x:row r="99">
      <x:c r="A99" t="n">
        <x:v>2016</x:v>
      </x:c>
      <x:c r="B99" t="str">
        <x:v>2016-09</x:v>
      </x:c>
      <x:c r="C99" t="str">
        <x:v>Resort Hotel</x:v>
      </x:c>
      <x:c r="D99" t="str">
        <x:v>Corporate</x:v>
      </x:c>
      <x:c r="E99" s="5" t="n">
        <x:v>76</x:v>
      </x:c>
      <x:c r="F99" s="5" t="n">
        <x:v>5</x:v>
      </x:c>
      <x:c r="G99" s="5" t="n">
        <x:v>71</x:v>
      </x:c>
      <x:c r="H99" s="5" t="n">
        <x:v>0</x:v>
      </x:c>
    </x:row>
    <x:row r="100">
      <x:c r="A100" t="n">
        <x:v>2016</x:v>
      </x:c>
      <x:c r="B100" t="str">
        <x:v>2016-09</x:v>
      </x:c>
      <x:c r="C100" t="str">
        <x:v>Resort Hotel</x:v>
      </x:c>
      <x:c r="D100" t="str">
        <x:v>Direct</x:v>
      </x:c>
      <x:c r="E100" s="5" t="n">
        <x:v>305</x:v>
      </x:c>
      <x:c r="F100" s="5" t="n">
        <x:v>60</x:v>
      </x:c>
      <x:c r="G100" s="5" t="n">
        <x:v>245</x:v>
      </x:c>
      <x:c r="H100" s="5" t="n">
        <x:v>2</x:v>
      </x:c>
    </x:row>
    <x:row r="101">
      <x:c r="A101" t="n">
        <x:v>2016</x:v>
      </x:c>
      <x:c r="B101" t="str">
        <x:v>2016-09</x:v>
      </x:c>
      <x:c r="C101" t="str">
        <x:v>Resort Hotel</x:v>
      </x:c>
      <x:c r="D101" t="str">
        <x:v>TA/TO</x:v>
      </x:c>
      <x:c r="E101" s="5" t="n">
        <x:v>1142</x:v>
      </x:c>
      <x:c r="F101" s="5" t="n">
        <x:v>390</x:v>
      </x:c>
      <x:c r="G101" s="5" t="n">
        <x:v>752</x:v>
      </x:c>
      <x:c r="H101" s="5" t="n">
        <x:v>1</x:v>
      </x:c>
    </x:row>
    <x:row r="102">
      <x:c r="A102" t="n">
        <x:v>2016</x:v>
      </x:c>
      <x:c r="B102" t="str">
        <x:v>2016-10</x:v>
      </x:c>
      <x:c r="C102" t="str">
        <x:v>City Hotel</x:v>
      </x:c>
      <x:c r="D102" t="str">
        <x:v>Corporate</x:v>
      </x:c>
      <x:c r="E102" s="5" t="n">
        <x:v>153</x:v>
      </x:c>
      <x:c r="F102" s="5" t="n">
        <x:v>18</x:v>
      </x:c>
      <x:c r="G102" s="5" t="n">
        <x:v>135</x:v>
      </x:c>
      <x:c r="H102" s="5" t="n">
        <x:v>4</x:v>
      </x:c>
    </x:row>
    <x:row r="103">
      <x:c r="A103" t="n">
        <x:v>2016</x:v>
      </x:c>
      <x:c r="B103" t="str">
        <x:v>2016-10</x:v>
      </x:c>
      <x:c r="C103" t="str">
        <x:v>City Hotel</x:v>
      </x:c>
      <x:c r="D103" t="str">
        <x:v>Direct</x:v>
      </x:c>
      <x:c r="E103" s="5" t="n">
        <x:v>265</x:v>
      </x:c>
      <x:c r="F103" s="5" t="n">
        <x:v>62</x:v>
      </x:c>
      <x:c r="G103" s="5" t="n">
        <x:v>203</x:v>
      </x:c>
      <x:c r="H103" s="5" t="n">
        <x:v>3</x:v>
      </x:c>
    </x:row>
    <x:row r="104">
      <x:c r="A104" t="n">
        <x:v>2016</x:v>
      </x:c>
      <x:c r="B104" t="str">
        <x:v>2016-10</x:v>
      </x:c>
      <x:c r="C104" t="str">
        <x:v>City Hotel</x:v>
      </x:c>
      <x:c r="D104" t="str">
        <x:v>GDS</x:v>
      </x:c>
      <x:c r="E104" s="5" t="n">
        <x:v>25</x:v>
      </x:c>
      <x:c r="F104" s="5" t="n">
        <x:v>8</x:v>
      </x:c>
      <x:c r="G104" s="5" t="n">
        <x:v>17</x:v>
      </x:c>
      <x:c r="H104" s="5" t="n">
        <x:v>0</x:v>
      </x:c>
    </x:row>
    <x:row r="105">
      <x:c r="A105" t="n">
        <x:v>2016</x:v>
      </x:c>
      <x:c r="B105" t="str">
        <x:v>2016-10</x:v>
      </x:c>
      <x:c r="C105" t="str">
        <x:v>City Hotel</x:v>
      </x:c>
      <x:c r="D105" t="str">
        <x:v>TA/TO</x:v>
      </x:c>
      <x:c r="E105" s="5" t="n">
        <x:v>3776</x:v>
      </x:c>
      <x:c r="F105" s="5" t="n">
        <x:v>1859</x:v>
      </x:c>
      <x:c r="G105" s="5" t="n">
        <x:v>1917</x:v>
      </x:c>
      <x:c r="H105" s="5" t="n">
        <x:v>34</x:v>
      </x:c>
    </x:row>
    <x:row r="106">
      <x:c r="A106" t="n">
        <x:v>2016</x:v>
      </x:c>
      <x:c r="B106" t="str">
        <x:v>2016-10</x:v>
      </x:c>
      <x:c r="C106" t="str">
        <x:v>Resort Hotel</x:v>
      </x:c>
      <x:c r="D106" t="str">
        <x:v>Corporate</x:v>
      </x:c>
      <x:c r="E106" s="5" t="n">
        <x:v>463</x:v>
      </x:c>
      <x:c r="F106" s="5" t="n">
        <x:v>89</x:v>
      </x:c>
      <x:c r="G106" s="5" t="n">
        <x:v>374</x:v>
      </x:c>
      <x:c r="H106" s="5" t="n">
        <x:v>1</x:v>
      </x:c>
    </x:row>
    <x:row r="107">
      <x:c r="A107" t="n">
        <x:v>2016</x:v>
      </x:c>
      <x:c r="B107" t="str">
        <x:v>2016-10</x:v>
      </x:c>
      <x:c r="C107" t="str">
        <x:v>Resort Hotel</x:v>
      </x:c>
      <x:c r="D107" t="str">
        <x:v>Direct</x:v>
      </x:c>
      <x:c r="E107" s="5" t="n">
        <x:v>349</x:v>
      </x:c>
      <x:c r="F107" s="5" t="n">
        <x:v>42</x:v>
      </x:c>
      <x:c r="G107" s="5" t="n">
        <x:v>307</x:v>
      </x:c>
      <x:c r="H107" s="5" t="n">
        <x:v>3</x:v>
      </x:c>
    </x:row>
    <x:row r="108">
      <x:c r="A108" t="n">
        <x:v>2016</x:v>
      </x:c>
      <x:c r="B108" t="str">
        <x:v>2016-10</x:v>
      </x:c>
      <x:c r="C108" t="str">
        <x:v>Resort Hotel</x:v>
      </x:c>
      <x:c r="D108" t="str">
        <x:v>TA/TO</x:v>
      </x:c>
      <x:c r="E108" s="5" t="n">
        <x:v>1172</x:v>
      </x:c>
      <x:c r="F108" s="5" t="n">
        <x:v>436</x:v>
      </x:c>
      <x:c r="G108" s="5" t="n">
        <x:v>736</x:v>
      </x:c>
      <x:c r="H108" s="5" t="n">
        <x:v>10</x:v>
      </x:c>
    </x:row>
    <x:row r="109">
      <x:c r="A109" t="n">
        <x:v>2016</x:v>
      </x:c>
      <x:c r="B109" t="str">
        <x:v>2016-11</x:v>
      </x:c>
      <x:c r="C109" t="str">
        <x:v>City Hotel</x:v>
      </x:c>
      <x:c r="D109" t="str">
        <x:v>Corporate</x:v>
      </x:c>
      <x:c r="E109" s="5" t="n">
        <x:v>268</x:v>
      </x:c>
      <x:c r="F109" s="5" t="n">
        <x:v>31</x:v>
      </x:c>
      <x:c r="G109" s="5" t="n">
        <x:v>237</x:v>
      </x:c>
      <x:c r="H109" s="5" t="n">
        <x:v>5</x:v>
      </x:c>
    </x:row>
    <x:row r="110">
      <x:c r="A110" t="n">
        <x:v>2016</x:v>
      </x:c>
      <x:c r="B110" t="str">
        <x:v>2016-11</x:v>
      </x:c>
      <x:c r="C110" t="str">
        <x:v>City Hotel</x:v>
      </x:c>
      <x:c r="D110" t="str">
        <x:v>Direct</x:v>
      </x:c>
      <x:c r="E110" s="5" t="n">
        <x:v>250</x:v>
      </x:c>
      <x:c r="F110" s="5" t="n">
        <x:v>48</x:v>
      </x:c>
      <x:c r="G110" s="5" t="n">
        <x:v>202</x:v>
      </x:c>
      <x:c r="H110" s="5" t="n">
        <x:v>1</x:v>
      </x:c>
    </x:row>
    <x:row r="111">
      <x:c r="A111" t="n">
        <x:v>2016</x:v>
      </x:c>
      <x:c r="B111" t="str">
        <x:v>2016-11</x:v>
      </x:c>
      <x:c r="C111" t="str">
        <x:v>City Hotel</x:v>
      </x:c>
      <x:c r="D111" t="str">
        <x:v>GDS</x:v>
      </x:c>
      <x:c r="E111" s="5" t="n">
        <x:v>22</x:v>
      </x:c>
      <x:c r="F111" s="5" t="n">
        <x:v>5</x:v>
      </x:c>
      <x:c r="G111" s="5" t="n">
        <x:v>17</x:v>
      </x:c>
      <x:c r="H111" s="5" t="n">
        <x:v>1</x:v>
      </x:c>
    </x:row>
    <x:row r="112">
      <x:c r="A112" t="n">
        <x:v>2016</x:v>
      </x:c>
      <x:c r="B112" t="str">
        <x:v>2016-11</x:v>
      </x:c>
      <x:c r="C112" t="str">
        <x:v>City Hotel</x:v>
      </x:c>
      <x:c r="D112" t="str">
        <x:v>TA/TO</x:v>
      </x:c>
      <x:c r="E112" s="5" t="n">
        <x:v>2582</x:v>
      </x:c>
      <x:c r="F112" s="5" t="n">
        <x:v>1276</x:v>
      </x:c>
      <x:c r="G112" s="5" t="n">
        <x:v>1306</x:v>
      </x:c>
      <x:c r="H112" s="5" t="n">
        <x:v>27</x:v>
      </x:c>
    </x:row>
    <x:row r="113">
      <x:c r="A113" t="n">
        <x:v>2016</x:v>
      </x:c>
      <x:c r="B113" t="str">
        <x:v>2016-11</x:v>
      </x:c>
      <x:c r="C113" t="str">
        <x:v>Resort Hotel</x:v>
      </x:c>
      <x:c r="D113" t="str">
        <x:v>Corporate</x:v>
      </x:c>
      <x:c r="E113" s="5" t="n">
        <x:v>108</x:v>
      </x:c>
      <x:c r="F113" s="5" t="n">
        <x:v>11</x:v>
      </x:c>
      <x:c r="G113" s="5" t="n">
        <x:v>97</x:v>
      </x:c>
      <x:c r="H113" s="5" t="n">
        <x:v>0</x:v>
      </x:c>
    </x:row>
    <x:row r="114">
      <x:c r="A114" t="n">
        <x:v>2016</x:v>
      </x:c>
      <x:c r="B114" t="str">
        <x:v>2016-11</x:v>
      </x:c>
      <x:c r="C114" t="str">
        <x:v>Resort Hotel</x:v>
      </x:c>
      <x:c r="D114" t="str">
        <x:v>Direct</x:v>
      </x:c>
      <x:c r="E114" s="5" t="n">
        <x:v>216</x:v>
      </x:c>
      <x:c r="F114" s="5" t="n">
        <x:v>20</x:v>
      </x:c>
      <x:c r="G114" s="5" t="n">
        <x:v>196</x:v>
      </x:c>
      <x:c r="H114" s="5" t="n">
        <x:v>0</x:v>
      </x:c>
    </x:row>
    <x:row r="115">
      <x:c r="A115" t="n">
        <x:v>2016</x:v>
      </x:c>
      <x:c r="B115" t="str">
        <x:v>2016-11</x:v>
      </x:c>
      <x:c r="C115" t="str">
        <x:v>Resort Hotel</x:v>
      </x:c>
      <x:c r="D115" t="str">
        <x:v>TA/TO</x:v>
      </x:c>
      <x:c r="E115" s="5" t="n">
        <x:v>1008</x:v>
      </x:c>
      <x:c r="F115" s="5" t="n">
        <x:v>245</x:v>
      </x:c>
      <x:c r="G115" s="5" t="n">
        <x:v>763</x:v>
      </x:c>
      <x:c r="H115" s="5" t="n">
        <x:v>5</x:v>
      </x:c>
    </x:row>
    <x:row r="116">
      <x:c r="A116" t="n">
        <x:v>2016</x:v>
      </x:c>
      <x:c r="B116" t="str">
        <x:v>2016-12</x:v>
      </x:c>
      <x:c r="C116" t="str">
        <x:v>City Hotel</x:v>
      </x:c>
      <x:c r="D116" t="str">
        <x:v>Corporate</x:v>
      </x:c>
      <x:c r="E116" s="5" t="n">
        <x:v>89</x:v>
      </x:c>
      <x:c r="F116" s="5" t="n">
        <x:v>17</x:v>
      </x:c>
      <x:c r="G116" s="5" t="n">
        <x:v>72</x:v>
      </x:c>
      <x:c r="H116" s="5" t="n">
        <x:v>0</x:v>
      </x:c>
    </x:row>
    <x:row r="117">
      <x:c r="A117" t="n">
        <x:v>2016</x:v>
      </x:c>
      <x:c r="B117" t="str">
        <x:v>2016-12</x:v>
      </x:c>
      <x:c r="C117" t="str">
        <x:v>City Hotel</x:v>
      </x:c>
      <x:c r="D117" t="str">
        <x:v>Direct</x:v>
      </x:c>
      <x:c r="E117" s="5" t="n">
        <x:v>218</x:v>
      </x:c>
      <x:c r="F117" s="5" t="n">
        <x:v>52</x:v>
      </x:c>
      <x:c r="G117" s="5" t="n">
        <x:v>166</x:v>
      </x:c>
      <x:c r="H117" s="5" t="n">
        <x:v>3</x:v>
      </x:c>
    </x:row>
    <x:row r="118">
      <x:c r="A118" t="n">
        <x:v>2016</x:v>
      </x:c>
      <x:c r="B118" t="str">
        <x:v>2016-12</x:v>
      </x:c>
      <x:c r="C118" t="str">
        <x:v>City Hotel</x:v>
      </x:c>
      <x:c r="D118" t="str">
        <x:v>GDS</x:v>
      </x:c>
      <x:c r="E118" s="5" t="n">
        <x:v>11</x:v>
      </x:c>
      <x:c r="F118" s="5" t="n">
        <x:v>4</x:v>
      </x:c>
      <x:c r="G118" s="5" t="n">
        <x:v>7</x:v>
      </x:c>
      <x:c r="H118" s="5" t="n">
        <x:v>1</x:v>
      </x:c>
    </x:row>
    <x:row r="119">
      <x:c r="A119" t="n">
        <x:v>2016</x:v>
      </x:c>
      <x:c r="B119" t="str">
        <x:v>2016-12</x:v>
      </x:c>
      <x:c r="C119" t="str">
        <x:v>City Hotel</x:v>
      </x:c>
      <x:c r="D119" t="str">
        <x:v>TA/TO</x:v>
      </x:c>
      <x:c r="E119" s="5" t="n">
        <x:v>2160</x:v>
      </x:c>
      <x:c r="F119" s="5" t="n">
        <x:v>999</x:v>
      </x:c>
      <x:c r="G119" s="5" t="n">
        <x:v>1161</x:v>
      </x:c>
      <x:c r="H119" s="5" t="n">
        <x:v>19</x:v>
      </x:c>
    </x:row>
    <x:row r="120">
      <x:c r="A120" t="n">
        <x:v>2016</x:v>
      </x:c>
      <x:c r="B120" t="str">
        <x:v>2016-12</x:v>
      </x:c>
      <x:c r="C120" t="str">
        <x:v>Resort Hotel</x:v>
      </x:c>
      <x:c r="D120" t="str">
        <x:v>Corporate</x:v>
      </x:c>
      <x:c r="E120" s="5" t="n">
        <x:v>75</x:v>
      </x:c>
      <x:c r="F120" s="5" t="n">
        <x:v>5</x:v>
      </x:c>
      <x:c r="G120" s="5" t="n">
        <x:v>70</x:v>
      </x:c>
      <x:c r="H120" s="5" t="n">
        <x:v>1</x:v>
      </x:c>
    </x:row>
    <x:row r="121">
      <x:c r="A121" t="n">
        <x:v>2016</x:v>
      </x:c>
      <x:c r="B121" t="str">
        <x:v>2016-12</x:v>
      </x:c>
      <x:c r="C121" t="str">
        <x:v>Resort Hotel</x:v>
      </x:c>
      <x:c r="D121" t="str">
        <x:v>Direct</x:v>
      </x:c>
      <x:c r="E121" s="5" t="n">
        <x:v>340</x:v>
      </x:c>
      <x:c r="F121" s="5" t="n">
        <x:v>48</x:v>
      </x:c>
      <x:c r="G121" s="5" t="n">
        <x:v>292</x:v>
      </x:c>
      <x:c r="H121" s="5" t="n">
        <x:v>1</x:v>
      </x:c>
    </x:row>
    <x:row r="122">
      <x:c r="A122" t="n">
        <x:v>2016</x:v>
      </x:c>
      <x:c r="B122" t="str">
        <x:v>2016-12</x:v>
      </x:c>
      <x:c r="C122" t="str">
        <x:v>Resort Hotel</x:v>
      </x:c>
      <x:c r="D122" t="str">
        <x:v>TA/TO</x:v>
      </x:c>
      <x:c r="E122" s="5" t="n">
        <x:v>967</x:v>
      </x:c>
      <x:c r="F122" s="5" t="n">
        <x:v>273</x:v>
      </x:c>
      <x:c r="G122" s="5" t="n">
        <x:v>694</x:v>
      </x:c>
      <x:c r="H122" s="5" t="n">
        <x:v>8</x:v>
      </x:c>
    </x:row>
    <x:row r="123">
      <x:c r="A123" t="n">
        <x:v>2017</x:v>
      </x:c>
      <x:c r="B123" t="str">
        <x:v>2017-01</x:v>
      </x:c>
      <x:c r="C123" t="str">
        <x:v>City Hotel</x:v>
      </x:c>
      <x:c r="D123" t="str">
        <x:v>Corporate</x:v>
      </x:c>
      <x:c r="E123" s="5" t="n">
        <x:v>192</x:v>
      </x:c>
      <x:c r="F123" s="5" t="n">
        <x:v>105</x:v>
      </x:c>
      <x:c r="G123" s="5" t="n">
        <x:v>87</x:v>
      </x:c>
      <x:c r="H123" s="5" t="n">
        <x:v>1</x:v>
      </x:c>
    </x:row>
    <x:row r="124">
      <x:c r="A124" t="n">
        <x:v>2017</x:v>
      </x:c>
      <x:c r="B124" t="str">
        <x:v>2017-01</x:v>
      </x:c>
      <x:c r="C124" t="str">
        <x:v>City Hotel</x:v>
      </x:c>
      <x:c r="D124" t="str">
        <x:v>Direct</x:v>
      </x:c>
      <x:c r="E124" s="5" t="n">
        <x:v>195</x:v>
      </x:c>
      <x:c r="F124" s="5" t="n">
        <x:v>23</x:v>
      </x:c>
      <x:c r="G124" s="5" t="n">
        <x:v>172</x:v>
      </x:c>
      <x:c r="H124" s="5" t="n">
        <x:v>2</x:v>
      </x:c>
    </x:row>
    <x:row r="125">
      <x:c r="A125" t="n">
        <x:v>2017</x:v>
      </x:c>
      <x:c r="B125" t="str">
        <x:v>2017-01</x:v>
      </x:c>
      <x:c r="C125" t="str">
        <x:v>City Hotel</x:v>
      </x:c>
      <x:c r="D125" t="str">
        <x:v>GDS</x:v>
      </x:c>
      <x:c r="E125" s="5" t="n">
        <x:v>21</x:v>
      </x:c>
      <x:c r="F125" s="5" t="n">
        <x:v>5</x:v>
      </x:c>
      <x:c r="G125" s="5" t="n">
        <x:v>16</x:v>
      </x:c>
      <x:c r="H125" s="5" t="n">
        <x:v>0</x:v>
      </x:c>
    </x:row>
    <x:row r="126">
      <x:c r="A126" t="n">
        <x:v>2017</x:v>
      </x:c>
      <x:c r="B126" t="str">
        <x:v>2017-01</x:v>
      </x:c>
      <x:c r="C126" t="str">
        <x:v>City Hotel</x:v>
      </x:c>
      <x:c r="D126" t="str">
        <x:v>TA/TO</x:v>
      </x:c>
      <x:c r="E126" s="5" t="n">
        <x:v>1964</x:v>
      </x:c>
      <x:c r="F126" s="5" t="n">
        <x:v>911</x:v>
      </x:c>
      <x:c r="G126" s="5" t="n">
        <x:v>1053</x:v>
      </x:c>
      <x:c r="H126" s="5" t="n">
        <x:v>13</x:v>
      </x:c>
    </x:row>
    <x:row r="127">
      <x:c r="A127" t="n">
        <x:v>2017</x:v>
      </x:c>
      <x:c r="B127" t="str">
        <x:v>2017-01</x:v>
      </x:c>
      <x:c r="C127" t="str">
        <x:v>Resort Hotel</x:v>
      </x:c>
      <x:c r="D127" t="str">
        <x:v>Corporate</x:v>
      </x:c>
      <x:c r="E127" s="5" t="n">
        <x:v>122</x:v>
      </x:c>
      <x:c r="F127" s="5" t="n">
        <x:v>13</x:v>
      </x:c>
      <x:c r="G127" s="5" t="n">
        <x:v>109</x:v>
      </x:c>
      <x:c r="H127" s="5" t="n">
        <x:v>2</x:v>
      </x:c>
    </x:row>
    <x:row r="128">
      <x:c r="A128" t="n">
        <x:v>2017</x:v>
      </x:c>
      <x:c r="B128" t="str">
        <x:v>2017-01</x:v>
      </x:c>
      <x:c r="C128" t="str">
        <x:v>Resort Hotel</x:v>
      </x:c>
      <x:c r="D128" t="str">
        <x:v>Direct</x:v>
      </x:c>
      <x:c r="E128" s="5" t="n">
        <x:v>409</x:v>
      </x:c>
      <x:c r="F128" s="5" t="n">
        <x:v>38</x:v>
      </x:c>
      <x:c r="G128" s="5" t="n">
        <x:v>371</x:v>
      </x:c>
      <x:c r="H128" s="5" t="n">
        <x:v>2</x:v>
      </x:c>
    </x:row>
    <x:row r="129">
      <x:c r="A129" t="n">
        <x:v>2017</x:v>
      </x:c>
      <x:c r="B129" t="str">
        <x:v>2017-01</x:v>
      </x:c>
      <x:c r="C129" t="str">
        <x:v>Resort Hotel</x:v>
      </x:c>
      <x:c r="D129" t="str">
        <x:v>TA/TO</x:v>
      </x:c>
      <x:c r="E129" s="5" t="n">
        <x:v>778</x:v>
      </x:c>
      <x:c r="F129" s="5" t="n">
        <x:v>155</x:v>
      </x:c>
      <x:c r="G129" s="5" t="n">
        <x:v>623</x:v>
      </x:c>
      <x:c r="H129" s="5" t="n">
        <x:v>5</x:v>
      </x:c>
    </x:row>
    <x:row r="130">
      <x:c r="A130" t="n">
        <x:v>2017</x:v>
      </x:c>
      <x:c r="B130" t="str">
        <x:v>2017-02</x:v>
      </x:c>
      <x:c r="C130" t="str">
        <x:v>City Hotel</x:v>
      </x:c>
      <x:c r="D130" t="str">
        <x:v>Corporate</x:v>
      </x:c>
      <x:c r="E130" s="5" t="n">
        <x:v>58</x:v>
      </x:c>
      <x:c r="F130" s="5" t="n">
        <x:v>7</x:v>
      </x:c>
      <x:c r="G130" s="5" t="n">
        <x:v>51</x:v>
      </x:c>
      <x:c r="H130" s="5" t="n">
        <x:v>1</x:v>
      </x:c>
    </x:row>
    <x:row r="131">
      <x:c r="A131" t="n">
        <x:v>2017</x:v>
      </x:c>
      <x:c r="B131" t="str">
        <x:v>2017-02</x:v>
      </x:c>
      <x:c r="C131" t="str">
        <x:v>City Hotel</x:v>
      </x:c>
      <x:c r="D131" t="str">
        <x:v>Direct</x:v>
      </x:c>
      <x:c r="E131" s="5" t="n">
        <x:v>276</x:v>
      </x:c>
      <x:c r="F131" s="5" t="n">
        <x:v>41</x:v>
      </x:c>
      <x:c r="G131" s="5" t="n">
        <x:v>235</x:v>
      </x:c>
      <x:c r="H131" s="5" t="n">
        <x:v>3</x:v>
      </x:c>
    </x:row>
    <x:row r="132">
      <x:c r="A132" t="n">
        <x:v>2017</x:v>
      </x:c>
      <x:c r="B132" t="str">
        <x:v>2017-02</x:v>
      </x:c>
      <x:c r="C132" t="str">
        <x:v>City Hotel</x:v>
      </x:c>
      <x:c r="D132" t="str">
        <x:v>GDS</x:v>
      </x:c>
      <x:c r="E132" s="5" t="n">
        <x:v>15</x:v>
      </x:c>
      <x:c r="F132" s="5" t="n">
        <x:v>1</x:v>
      </x:c>
      <x:c r="G132" s="5" t="n">
        <x:v>14</x:v>
      </x:c>
      <x:c r="H132" s="5" t="n">
        <x:v>0</x:v>
      </x:c>
    </x:row>
    <x:row r="133">
      <x:c r="A133" t="n">
        <x:v>2017</x:v>
      </x:c>
      <x:c r="B133" t="str">
        <x:v>2017-02</x:v>
      </x:c>
      <x:c r="C133" t="str">
        <x:v>City Hotel</x:v>
      </x:c>
      <x:c r="D133" t="str">
        <x:v>TA/TO</x:v>
      </x:c>
      <x:c r="E133" s="5" t="n">
        <x:v>2245</x:v>
      </x:c>
      <x:c r="F133" s="5" t="n">
        <x:v>922</x:v>
      </x:c>
      <x:c r="G133" s="5" t="n">
        <x:v>1323</x:v>
      </x:c>
      <x:c r="H133" s="5" t="n">
        <x:v>52</x:v>
      </x:c>
    </x:row>
    <x:row r="134">
      <x:c r="A134" t="n">
        <x:v>2017</x:v>
      </x:c>
      <x:c r="B134" t="str">
        <x:v>2017-02</x:v>
      </x:c>
      <x:c r="C134" t="str">
        <x:v>Resort Hotel</x:v>
      </x:c>
      <x:c r="D134" t="str">
        <x:v>Corporate</x:v>
      </x:c>
      <x:c r="E134" s="5" t="n">
        <x:v>207</x:v>
      </x:c>
      <x:c r="F134" s="5" t="n">
        <x:v>36</x:v>
      </x:c>
      <x:c r="G134" s="5" t="n">
        <x:v>171</x:v>
      </x:c>
      <x:c r="H134" s="5" t="n">
        <x:v>3</x:v>
      </x:c>
    </x:row>
    <x:row r="135">
      <x:c r="A135" t="n">
        <x:v>2017</x:v>
      </x:c>
      <x:c r="B135" t="str">
        <x:v>2017-02</x:v>
      </x:c>
      <x:c r="C135" t="str">
        <x:v>Resort Hotel</x:v>
      </x:c>
      <x:c r="D135" t="str">
        <x:v>Direct</x:v>
      </x:c>
      <x:c r="E135" s="5" t="n">
        <x:v>347</x:v>
      </x:c>
      <x:c r="F135" s="5" t="n">
        <x:v>48</x:v>
      </x:c>
      <x:c r="G135" s="5" t="n">
        <x:v>299</x:v>
      </x:c>
      <x:c r="H135" s="5" t="n">
        <x:v>7</x:v>
      </x:c>
    </x:row>
    <x:row r="136">
      <x:c r="A136" t="n">
        <x:v>2017</x:v>
      </x:c>
      <x:c r="B136" t="str">
        <x:v>2017-02</x:v>
      </x:c>
      <x:c r="C136" t="str">
        <x:v>Resort Hotel</x:v>
      </x:c>
      <x:c r="D136" t="str">
        <x:v>TA/TO</x:v>
      </x:c>
      <x:c r="E136" s="5" t="n">
        <x:v>1029</x:v>
      </x:c>
      <x:c r="F136" s="5" t="n">
        <x:v>304</x:v>
      </x:c>
      <x:c r="G136" s="5" t="n">
        <x:v>725</x:v>
      </x:c>
      <x:c r="H136" s="5" t="n">
        <x:v>18</x:v>
      </x:c>
    </x:row>
    <x:row r="137">
      <x:c r="A137" t="n">
        <x:v>2017</x:v>
      </x:c>
      <x:c r="B137" t="str">
        <x:v>2017-03</x:v>
      </x:c>
      <x:c r="C137" t="str">
        <x:v>City Hotel</x:v>
      </x:c>
      <x:c r="D137" t="str">
        <x:v>Corporate</x:v>
      </x:c>
      <x:c r="E137" s="5" t="n">
        <x:v>97</x:v>
      </x:c>
      <x:c r="F137" s="5" t="n">
        <x:v>7</x:v>
      </x:c>
      <x:c r="G137" s="5" t="n">
        <x:v>90</x:v>
      </x:c>
      <x:c r="H137" s="5" t="n">
        <x:v>0</x:v>
      </x:c>
    </x:row>
    <x:row r="138">
      <x:c r="A138" t="n">
        <x:v>2017</x:v>
      </x:c>
      <x:c r="B138" t="str">
        <x:v>2017-03</x:v>
      </x:c>
      <x:c r="C138" t="str">
        <x:v>City Hotel</x:v>
      </x:c>
      <x:c r="D138" t="str">
        <x:v>Direct</x:v>
      </x:c>
      <x:c r="E138" s="5" t="n">
        <x:v>334</x:v>
      </x:c>
      <x:c r="F138" s="5" t="n">
        <x:v>91</x:v>
      </x:c>
      <x:c r="G138" s="5" t="n">
        <x:v>243</x:v>
      </x:c>
      <x:c r="H138" s="5" t="n">
        <x:v>4</x:v>
      </x:c>
    </x:row>
    <x:row r="139">
      <x:c r="A139" t="n">
        <x:v>2017</x:v>
      </x:c>
      <x:c r="B139" t="str">
        <x:v>2017-03</x:v>
      </x:c>
      <x:c r="C139" t="str">
        <x:v>City Hotel</x:v>
      </x:c>
      <x:c r="D139" t="str">
        <x:v>GDS</x:v>
      </x:c>
      <x:c r="E139" s="5" t="n">
        <x:v>10</x:v>
      </x:c>
      <x:c r="F139" s="5" t="n">
        <x:v>1</x:v>
      </x:c>
      <x:c r="G139" s="5" t="n">
        <x:v>9</x:v>
      </x:c>
      <x:c r="H139" s="5" t="n">
        <x:v>0</x:v>
      </x:c>
    </x:row>
    <x:row r="140">
      <x:c r="A140" t="n">
        <x:v>2017</x:v>
      </x:c>
      <x:c r="B140" t="str">
        <x:v>2017-03</x:v>
      </x:c>
      <x:c r="C140" t="str">
        <x:v>City Hotel</x:v>
      </x:c>
      <x:c r="D140" t="str">
        <x:v>TA/TO</x:v>
      </x:c>
      <x:c r="E140" s="5" t="n">
        <x:v>2971</x:v>
      </x:c>
      <x:c r="F140" s="5" t="n">
        <x:v>1179</x:v>
      </x:c>
      <x:c r="G140" s="5" t="n">
        <x:v>1792</x:v>
      </x:c>
      <x:c r="H140" s="5" t="n">
        <x:v>31</x:v>
      </x:c>
    </x:row>
    <x:row r="141">
      <x:c r="A141" t="n">
        <x:v>2017</x:v>
      </x:c>
      <x:c r="B141" t="str">
        <x:v>2017-03</x:v>
      </x:c>
      <x:c r="C141" t="str">
        <x:v>Resort Hotel</x:v>
      </x:c>
      <x:c r="D141" t="str">
        <x:v>Corporate</x:v>
      </x:c>
      <x:c r="E141" s="5" t="n">
        <x:v>306</x:v>
      </x:c>
      <x:c r="F141" s="5" t="n">
        <x:v>70</x:v>
      </x:c>
      <x:c r="G141" s="5" t="n">
        <x:v>236</x:v>
      </x:c>
      <x:c r="H141" s="5" t="n">
        <x:v>5</x:v>
      </x:c>
    </x:row>
    <x:row r="142">
      <x:c r="A142" t="n">
        <x:v>2017</x:v>
      </x:c>
      <x:c r="B142" t="str">
        <x:v>2017-03</x:v>
      </x:c>
      <x:c r="C142" t="str">
        <x:v>Resort Hotel</x:v>
      </x:c>
      <x:c r="D142" t="str">
        <x:v>Direct</x:v>
      </x:c>
      <x:c r="E142" s="5" t="n">
        <x:v>266</x:v>
      </x:c>
      <x:c r="F142" s="5" t="n">
        <x:v>31</x:v>
      </x:c>
      <x:c r="G142" s="5" t="n">
        <x:v>235</x:v>
      </x:c>
      <x:c r="H142" s="5" t="n">
        <x:v>3</x:v>
      </x:c>
    </x:row>
    <x:row r="143">
      <x:c r="A143" t="n">
        <x:v>2017</x:v>
      </x:c>
      <x:c r="B143" t="str">
        <x:v>2017-03</x:v>
      </x:c>
      <x:c r="C143" t="str">
        <x:v>Resort Hotel</x:v>
      </x:c>
      <x:c r="D143" t="str">
        <x:v>TA/TO</x:v>
      </x:c>
      <x:c r="E143" s="5" t="n">
        <x:v>986</x:v>
      </x:c>
      <x:c r="F143" s="5" t="n">
        <x:v>293</x:v>
      </x:c>
      <x:c r="G143" s="5" t="n">
        <x:v>693</x:v>
      </x:c>
      <x:c r="H143" s="5" t="n">
        <x:v>8</x:v>
      </x:c>
    </x:row>
    <x:row r="144">
      <x:c r="A144" t="n">
        <x:v>2017</x:v>
      </x:c>
      <x:c r="B144" t="str">
        <x:v>2017-04</x:v>
      </x:c>
      <x:c r="C144" t="str">
        <x:v>City Hotel</x:v>
      </x:c>
      <x:c r="D144" t="str">
        <x:v>Corporate</x:v>
      </x:c>
      <x:c r="E144" s="5" t="n">
        <x:v>105</x:v>
      </x:c>
      <x:c r="F144" s="5" t="n">
        <x:v>54</x:v>
      </x:c>
      <x:c r="G144" s="5" t="n">
        <x:v>51</x:v>
      </x:c>
      <x:c r="H144" s="5" t="n">
        <x:v>0</x:v>
      </x:c>
    </x:row>
    <x:row r="145">
      <x:c r="A145" t="n">
        <x:v>2017</x:v>
      </x:c>
      <x:c r="B145" t="str">
        <x:v>2017-04</x:v>
      </x:c>
      <x:c r="C145" t="str">
        <x:v>City Hotel</x:v>
      </x:c>
      <x:c r="D145" t="str">
        <x:v>Direct</x:v>
      </x:c>
      <x:c r="E145" s="5" t="n">
        <x:v>358</x:v>
      </x:c>
      <x:c r="F145" s="5" t="n">
        <x:v>48</x:v>
      </x:c>
      <x:c r="G145" s="5" t="n">
        <x:v>310</x:v>
      </x:c>
      <x:c r="H145" s="5" t="n">
        <x:v>4</x:v>
      </x:c>
    </x:row>
    <x:row r="146">
      <x:c r="A146" t="n">
        <x:v>2017</x:v>
      </x:c>
      <x:c r="B146" t="str">
        <x:v>2017-04</x:v>
      </x:c>
      <x:c r="C146" t="str">
        <x:v>City Hotel</x:v>
      </x:c>
      <x:c r="D146" t="str">
        <x:v>GDS</x:v>
      </x:c>
      <x:c r="E146" s="5" t="n">
        <x:v>3</x:v>
      </x:c>
      <x:c r="F146" s="5" t="n">
        <x:v>0</x:v>
      </x:c>
      <x:c r="G146" s="5" t="n">
        <x:v>3</x:v>
      </x:c>
      <x:c r="H146" s="5" t="n">
        <x:v>0</x:v>
      </x:c>
    </x:row>
    <x:row r="147">
      <x:c r="A147" t="n">
        <x:v>2017</x:v>
      </x:c>
      <x:c r="B147" t="str">
        <x:v>2017-04</x:v>
      </x:c>
      <x:c r="C147" t="str">
        <x:v>City Hotel</x:v>
      </x:c>
      <x:c r="D147" t="str">
        <x:v>TA/TO</x:v>
      </x:c>
      <x:c r="E147" s="5" t="n">
        <x:v>3453</x:v>
      </x:c>
      <x:c r="F147" s="5" t="n">
        <x:v>1824</x:v>
      </x:c>
      <x:c r="G147" s="5" t="n">
        <x:v>1629</x:v>
      </x:c>
      <x:c r="H147" s="5" t="n">
        <x:v>12</x:v>
      </x:c>
    </x:row>
    <x:row r="148">
      <x:c r="A148" t="n">
        <x:v>2017</x:v>
      </x:c>
      <x:c r="B148" t="str">
        <x:v>2017-04</x:v>
      </x:c>
      <x:c r="C148" t="str">
        <x:v>Resort Hotel</x:v>
      </x:c>
      <x:c r="D148" t="str">
        <x:v>Corporate</x:v>
      </x:c>
      <x:c r="E148" s="5" t="n">
        <x:v>127</x:v>
      </x:c>
      <x:c r="F148" s="5" t="n">
        <x:v>32</x:v>
      </x:c>
      <x:c r="G148" s="5" t="n">
        <x:v>95</x:v>
      </x:c>
      <x:c r="H148" s="5" t="n">
        <x:v>1</x:v>
      </x:c>
    </x:row>
    <x:row r="149">
      <x:c r="A149" t="n">
        <x:v>2017</x:v>
      </x:c>
      <x:c r="B149" t="str">
        <x:v>2017-04</x:v>
      </x:c>
      <x:c r="C149" t="str">
        <x:v>Resort Hotel</x:v>
      </x:c>
      <x:c r="D149" t="str">
        <x:v>Direct</x:v>
      </x:c>
      <x:c r="E149" s="5" t="n">
        <x:v>232</x:v>
      </x:c>
      <x:c r="F149" s="5" t="n">
        <x:v>35</x:v>
      </x:c>
      <x:c r="G149" s="5" t="n">
        <x:v>197</x:v>
      </x:c>
      <x:c r="H149" s="5" t="n">
        <x:v>0</x:v>
      </x:c>
    </x:row>
    <x:row r="150">
      <x:c r="A150" t="n">
        <x:v>2017</x:v>
      </x:c>
      <x:c r="B150" t="str">
        <x:v>2017-04</x:v>
      </x:c>
      <x:c r="C150" t="str">
        <x:v>Resort Hotel</x:v>
      </x:c>
      <x:c r="D150" t="str">
        <x:v>TA/TO</x:v>
      </x:c>
      <x:c r="E150" s="5" t="n">
        <x:v>1383</x:v>
      </x:c>
      <x:c r="F150" s="5" t="n">
        <x:v>470</x:v>
      </x:c>
      <x:c r="G150" s="5" t="n">
        <x:v>913</x:v>
      </x:c>
      <x:c r="H150" s="5" t="n">
        <x:v>6</x:v>
      </x:c>
    </x:row>
    <x:row r="151">
      <x:c r="A151" t="n">
        <x:v>2017</x:v>
      </x:c>
      <x:c r="B151" t="str">
        <x:v>2017-05</x:v>
      </x:c>
      <x:c r="C151" t="str">
        <x:v>City Hotel</x:v>
      </x:c>
      <x:c r="D151" t="str">
        <x:v>Corporate</x:v>
      </x:c>
      <x:c r="E151" s="5" t="n">
        <x:v>222</x:v>
      </x:c>
      <x:c r="F151" s="5" t="n">
        <x:v>42</x:v>
      </x:c>
      <x:c r="G151" s="5" t="n">
        <x:v>180</x:v>
      </x:c>
      <x:c r="H151" s="5" t="n">
        <x:v>3</x:v>
      </x:c>
    </x:row>
    <x:row r="152">
      <x:c r="A152" t="n">
        <x:v>2017</x:v>
      </x:c>
      <x:c r="B152" t="str">
        <x:v>2017-05</x:v>
      </x:c>
      <x:c r="C152" t="str">
        <x:v>City Hotel</x:v>
      </x:c>
      <x:c r="D152" t="str">
        <x:v>Direct</x:v>
      </x:c>
      <x:c r="E152" s="5" t="n">
        <x:v>376</x:v>
      </x:c>
      <x:c r="F152" s="5" t="n">
        <x:v>106</x:v>
      </x:c>
      <x:c r="G152" s="5" t="n">
        <x:v>270</x:v>
      </x:c>
      <x:c r="H152" s="5" t="n">
        <x:v>4</x:v>
      </x:c>
    </x:row>
    <x:row r="153">
      <x:c r="A153" t="n">
        <x:v>2017</x:v>
      </x:c>
      <x:c r="B153" t="str">
        <x:v>2017-05</x:v>
      </x:c>
      <x:c r="C153" t="str">
        <x:v>City Hotel</x:v>
      </x:c>
      <x:c r="D153" t="str">
        <x:v>GDS</x:v>
      </x:c>
      <x:c r="E153" s="5" t="n">
        <x:v>16</x:v>
      </x:c>
      <x:c r="F153" s="5" t="n">
        <x:v>5</x:v>
      </x:c>
      <x:c r="G153" s="5" t="n">
        <x:v>11</x:v>
      </x:c>
      <x:c r="H153" s="5" t="n">
        <x:v>1</x:v>
      </x:c>
    </x:row>
    <x:row r="154">
      <x:c r="A154" t="n">
        <x:v>2017</x:v>
      </x:c>
      <x:c r="B154" t="str">
        <x:v>2017-05</x:v>
      </x:c>
      <x:c r="C154" t="str">
        <x:v>City Hotel</x:v>
      </x:c>
      <x:c r="D154" t="str">
        <x:v>TA/TO</x:v>
      </x:c>
      <x:c r="E154" s="5" t="n">
        <x:v>3942</x:v>
      </x:c>
      <x:c r="F154" s="5" t="n">
        <x:v>2064</x:v>
      </x:c>
      <x:c r="G154" s="5" t="n">
        <x:v>1878</x:v>
      </x:c>
      <x:c r="H154" s="5" t="n">
        <x:v>42</x:v>
      </x:c>
    </x:row>
    <x:row r="155">
      <x:c r="A155" t="n">
        <x:v>2017</x:v>
      </x:c>
      <x:c r="B155" t="str">
        <x:v>2017-05</x:v>
      </x:c>
      <x:c r="C155" t="str">
        <x:v>Resort Hotel</x:v>
      </x:c>
      <x:c r="D155" t="str">
        <x:v>Corporate</x:v>
      </x:c>
      <x:c r="E155" s="5" t="n">
        <x:v>73</x:v>
      </x:c>
      <x:c r="F155" s="5" t="n">
        <x:v>21</x:v>
      </x:c>
      <x:c r="G155" s="5" t="n">
        <x:v>52</x:v>
      </x:c>
      <x:c r="H155" s="5" t="n">
        <x:v>2</x:v>
      </x:c>
    </x:row>
    <x:row r="156">
      <x:c r="A156" t="n">
        <x:v>2017</x:v>
      </x:c>
      <x:c r="B156" t="str">
        <x:v>2017-05</x:v>
      </x:c>
      <x:c r="C156" t="str">
        <x:v>Resort Hotel</x:v>
      </x:c>
      <x:c r="D156" t="str">
        <x:v>Direct</x:v>
      </x:c>
      <x:c r="E156" s="5" t="n">
        <x:v>247</x:v>
      </x:c>
      <x:c r="F156" s="5" t="n">
        <x:v>48</x:v>
      </x:c>
      <x:c r="G156" s="5" t="n">
        <x:v>199</x:v>
      </x:c>
      <x:c r="H156" s="5" t="n">
        <x:v>3</x:v>
      </x:c>
    </x:row>
    <x:row r="157">
      <x:c r="A157" t="n">
        <x:v>2017</x:v>
      </x:c>
      <x:c r="B157" t="str">
        <x:v>2017-05</x:v>
      </x:c>
      <x:c r="C157" t="str">
        <x:v>Resort Hotel</x:v>
      </x:c>
      <x:c r="D157" t="str">
        <x:v>TA/TO</x:v>
      </x:c>
      <x:c r="E157" s="5" t="n">
        <x:v>1437</x:v>
      </x:c>
      <x:c r="F157" s="5" t="n">
        <x:v>476</x:v>
      </x:c>
      <x:c r="G157" s="5" t="n">
        <x:v>961</x:v>
      </x:c>
      <x:c r="H157" s="5" t="n">
        <x:v>12</x:v>
      </x:c>
    </x:row>
    <x:row r="158">
      <x:c r="A158" t="n">
        <x:v>2017</x:v>
      </x:c>
      <x:c r="B158" t="str">
        <x:v>2017-06</x:v>
      </x:c>
      <x:c r="C158" t="str">
        <x:v>City Hotel</x:v>
      </x:c>
      <x:c r="D158" t="str">
        <x:v>Corporate</x:v>
      </x:c>
      <x:c r="E158" s="5" t="n">
        <x:v>147</x:v>
      </x:c>
      <x:c r="F158" s="5" t="n">
        <x:v>31</x:v>
      </x:c>
      <x:c r="G158" s="5" t="n">
        <x:v>116</x:v>
      </x:c>
      <x:c r="H158" s="5" t="n">
        <x:v>4</x:v>
      </x:c>
    </x:row>
    <x:row r="159">
      <x:c r="A159" t="n">
        <x:v>2017</x:v>
      </x:c>
      <x:c r="B159" t="str">
        <x:v>2017-06</x:v>
      </x:c>
      <x:c r="C159" t="str">
        <x:v>City Hotel</x:v>
      </x:c>
      <x:c r="D159" t="str">
        <x:v>Direct</x:v>
      </x:c>
      <x:c r="E159" s="5" t="n">
        <x:v>364</x:v>
      </x:c>
      <x:c r="F159" s="5" t="n">
        <x:v>72</x:v>
      </x:c>
      <x:c r="G159" s="5" t="n">
        <x:v>292</x:v>
      </x:c>
      <x:c r="H159" s="5" t="n">
        <x:v>1</x:v>
      </x:c>
    </x:row>
    <x:row r="160">
      <x:c r="A160" t="n">
        <x:v>2017</x:v>
      </x:c>
      <x:c r="B160" t="str">
        <x:v>2017-06</x:v>
      </x:c>
      <x:c r="C160" t="str">
        <x:v>City Hotel</x:v>
      </x:c>
      <x:c r="D160" t="str">
        <x:v>GDS</x:v>
      </x:c>
      <x:c r="E160" s="5" t="n">
        <x:v>19</x:v>
      </x:c>
      <x:c r="F160" s="5" t="n">
        <x:v>1</x:v>
      </x:c>
      <x:c r="G160" s="5" t="n">
        <x:v>18</x:v>
      </x:c>
      <x:c r="H160" s="5" t="n">
        <x:v>0</x:v>
      </x:c>
    </x:row>
    <x:row r="161">
      <x:c r="A161" t="n">
        <x:v>2017</x:v>
      </x:c>
      <x:c r="B161" t="str">
        <x:v>2017-06</x:v>
      </x:c>
      <x:c r="C161" t="str">
        <x:v>City Hotel</x:v>
      </x:c>
      <x:c r="D161" t="str">
        <x:v>TA/TO</x:v>
      </x:c>
      <x:c r="E161" s="5" t="n">
        <x:v>3441</x:v>
      </x:c>
      <x:c r="F161" s="5" t="n">
        <x:v>1704</x:v>
      </x:c>
      <x:c r="G161" s="5" t="n">
        <x:v>1737</x:v>
      </x:c>
      <x:c r="H161" s="5" t="n">
        <x:v>19</x:v>
      </x:c>
    </x:row>
    <x:row r="162">
      <x:c r="A162" t="n">
        <x:v>2017</x:v>
      </x:c>
      <x:c r="B162" t="str">
        <x:v>2017-06</x:v>
      </x:c>
      <x:c r="C162" t="str">
        <x:v>Resort Hotel</x:v>
      </x:c>
      <x:c r="D162" t="str">
        <x:v>Corporate</x:v>
      </x:c>
      <x:c r="E162" s="5" t="n">
        <x:v>67</x:v>
      </x:c>
      <x:c r="F162" s="5" t="n">
        <x:v>27</x:v>
      </x:c>
      <x:c r="G162" s="5" t="n">
        <x:v>40</x:v>
      </x:c>
      <x:c r="H162" s="5" t="n">
        <x:v>1</x:v>
      </x:c>
    </x:row>
    <x:row r="163">
      <x:c r="A163" t="n">
        <x:v>2017</x:v>
      </x:c>
      <x:c r="B163" t="str">
        <x:v>2017-06</x:v>
      </x:c>
      <x:c r="C163" t="str">
        <x:v>Resort Hotel</x:v>
      </x:c>
      <x:c r="D163" t="str">
        <x:v>Direct</x:v>
      </x:c>
      <x:c r="E163" s="5" t="n">
        <x:v>262</x:v>
      </x:c>
      <x:c r="F163" s="5" t="n">
        <x:v>42</x:v>
      </x:c>
      <x:c r="G163" s="5" t="n">
        <x:v>220</x:v>
      </x:c>
      <x:c r="H163" s="5" t="n">
        <x:v>1</x:v>
      </x:c>
    </x:row>
    <x:row r="164">
      <x:c r="A164" t="n">
        <x:v>2017</x:v>
      </x:c>
      <x:c r="B164" t="str">
        <x:v>2017-06</x:v>
      </x:c>
      <x:c r="C164" t="str">
        <x:v>Resort Hotel</x:v>
      </x:c>
      <x:c r="D164" t="str">
        <x:v>TA/TO</x:v>
      </x:c>
      <x:c r="E164" s="5" t="n">
        <x:v>1347</x:v>
      </x:c>
      <x:c r="F164" s="5" t="n">
        <x:v>562</x:v>
      </x:c>
      <x:c r="G164" s="5" t="n">
        <x:v>785</x:v>
      </x:c>
      <x:c r="H164" s="5" t="n">
        <x:v>8</x:v>
      </x:c>
    </x:row>
    <x:row r="165">
      <x:c r="A165" t="n">
        <x:v>2017</x:v>
      </x:c>
      <x:c r="B165" t="str">
        <x:v>2017-07</x:v>
      </x:c>
      <x:c r="C165" t="str">
        <x:v>City Hotel</x:v>
      </x:c>
      <x:c r="D165" t="str">
        <x:v>Corporate</x:v>
      </x:c>
      <x:c r="E165" s="5" t="n">
        <x:v>82</x:v>
      </x:c>
      <x:c r="F165" s="5" t="n">
        <x:v>13</x:v>
      </x:c>
      <x:c r="G165" s="5" t="n">
        <x:v>69</x:v>
      </x:c>
      <x:c r="H165" s="5" t="n">
        <x:v>3</x:v>
      </x:c>
    </x:row>
    <x:row r="166">
      <x:c r="A166" t="n">
        <x:v>2017</x:v>
      </x:c>
      <x:c r="B166" t="str">
        <x:v>2017-07</x:v>
      </x:c>
      <x:c r="C166" t="str">
        <x:v>City Hotel</x:v>
      </x:c>
      <x:c r="D166" t="str">
        <x:v>Direct</x:v>
      </x:c>
      <x:c r="E166" s="5" t="n">
        <x:v>374</x:v>
      </x:c>
      <x:c r="F166" s="5" t="n">
        <x:v>41</x:v>
      </x:c>
      <x:c r="G166" s="5" t="n">
        <x:v>333</x:v>
      </x:c>
      <x:c r="H166" s="5" t="n">
        <x:v>4</x:v>
      </x:c>
    </x:row>
    <x:row r="167">
      <x:c r="A167" t="n">
        <x:v>2017</x:v>
      </x:c>
      <x:c r="B167" t="str">
        <x:v>2017-07</x:v>
      </x:c>
      <x:c r="C167" t="str">
        <x:v>City Hotel</x:v>
      </x:c>
      <x:c r="D167" t="str">
        <x:v>TA/TO</x:v>
      </x:c>
      <x:c r="E167" s="5" t="n">
        <x:v>3103</x:v>
      </x:c>
      <x:c r="F167" s="5" t="n">
        <x:v>1270</x:v>
      </x:c>
      <x:c r="G167" s="5" t="n">
        <x:v>1833</x:v>
      </x:c>
      <x:c r="H167" s="5" t="n">
        <x:v>14</x:v>
      </x:c>
    </x:row>
    <x:row r="168">
      <x:c r="A168" t="n">
        <x:v>2017</x:v>
      </x:c>
      <x:c r="B168" t="str">
        <x:v>2017-07</x:v>
      </x:c>
      <x:c r="C168" t="str">
        <x:v>Resort Hotel</x:v>
      </x:c>
      <x:c r="D168" t="str">
        <x:v>Corporate</x:v>
      </x:c>
      <x:c r="E168" s="5" t="n">
        <x:v>51</x:v>
      </x:c>
      <x:c r="F168" s="5" t="n">
        <x:v>33</x:v>
      </x:c>
      <x:c r="G168" s="5" t="n">
        <x:v>18</x:v>
      </x:c>
      <x:c r="H168" s="5" t="n">
        <x:v>1</x:v>
      </x:c>
    </x:row>
    <x:row r="169">
      <x:c r="A169" t="n">
        <x:v>2017</x:v>
      </x:c>
      <x:c r="B169" t="str">
        <x:v>2017-07</x:v>
      </x:c>
      <x:c r="C169" t="str">
        <x:v>Resort Hotel</x:v>
      </x:c>
      <x:c r="D169" t="str">
        <x:v>Direct</x:v>
      </x:c>
      <x:c r="E169" s="5" t="n">
        <x:v>348</x:v>
      </x:c>
      <x:c r="F169" s="5" t="n">
        <x:v>91</x:v>
      </x:c>
      <x:c r="G169" s="5" t="n">
        <x:v>257</x:v>
      </x:c>
      <x:c r="H169" s="5" t="n">
        <x:v>1</x:v>
      </x:c>
    </x:row>
    <x:row r="170">
      <x:c r="A170" t="n">
        <x:v>2017</x:v>
      </x:c>
      <x:c r="B170" t="str">
        <x:v>2017-07</x:v>
      </x:c>
      <x:c r="C170" t="str">
        <x:v>Resort Hotel</x:v>
      </x:c>
      <x:c r="D170" t="str">
        <x:v>TA/TO</x:v>
      </x:c>
      <x:c r="E170" s="5" t="n">
        <x:v>1355</x:v>
      </x:c>
      <x:c r="F170" s="5" t="n">
        <x:v>536</x:v>
      </x:c>
      <x:c r="G170" s="5" t="n">
        <x:v>819</x:v>
      </x:c>
      <x:c r="H170" s="5" t="n">
        <x:v>8</x:v>
      </x:c>
    </x:row>
    <x:row r="171">
      <x:c r="A171" t="n">
        <x:v>2017</x:v>
      </x:c>
      <x:c r="B171" t="str">
        <x:v>2017-08</x:v>
      </x:c>
      <x:c r="C171" t="str">
        <x:v>City Hotel</x:v>
      </x:c>
      <x:c r="D171" t="str">
        <x:v>Corporate</x:v>
      </x:c>
      <x:c r="E171" s="5" t="n">
        <x:v>50</x:v>
      </x:c>
      <x:c r="F171" s="5" t="n">
        <x:v>3</x:v>
      </x:c>
      <x:c r="G171" s="5" t="n">
        <x:v>47</x:v>
      </x:c>
      <x:c r="H171" s="5" t="n">
        <x:v>2</x:v>
      </x:c>
    </x:row>
    <x:row r="172">
      <x:c r="A172" t="n">
        <x:v>2017</x:v>
      </x:c>
      <x:c r="B172" t="str">
        <x:v>2017-08</x:v>
      </x:c>
      <x:c r="C172" t="str">
        <x:v>City Hotel</x:v>
      </x:c>
      <x:c r="D172" t="str">
        <x:v>Direct</x:v>
      </x:c>
      <x:c r="E172" s="5" t="n">
        <x:v>363</x:v>
      </x:c>
      <x:c r="F172" s="5" t="n">
        <x:v>74</x:v>
      </x:c>
      <x:c r="G172" s="5" t="n">
        <x:v>289</x:v>
      </x:c>
      <x:c r="H172" s="5" t="n">
        <x:v>2</x:v>
      </x:c>
    </x:row>
    <x:row r="173">
      <x:c r="A173" t="n">
        <x:v>2017</x:v>
      </x:c>
      <x:c r="B173" t="str">
        <x:v>2017-08</x:v>
      </x:c>
      <x:c r="C173" t="str">
        <x:v>City Hotel</x:v>
      </x:c>
      <x:c r="D173" t="str">
        <x:v>GDS</x:v>
      </x:c>
      <x:c r="E173" s="5" t="n">
        <x:v>4</x:v>
      </x:c>
      <x:c r="F173" s="5" t="n">
        <x:v>2</x:v>
      </x:c>
      <x:c r="G173" s="5" t="n">
        <x:v>2</x:v>
      </x:c>
      <x:c r="H173" s="5" t="n">
        <x:v>0</x:v>
      </x:c>
    </x:row>
    <x:row r="174">
      <x:c r="A174" t="n">
        <x:v>2017</x:v>
      </x:c>
      <x:c r="B174" t="str">
        <x:v>2017-08</x:v>
      </x:c>
      <x:c r="C174" t="str">
        <x:v>City Hotel</x:v>
      </x:c>
      <x:c r="D174" t="str">
        <x:v>TA/TO</x:v>
      </x:c>
      <x:c r="E174" s="5" t="n">
        <x:v>2708</x:v>
      </x:c>
      <x:c r="F174" s="5" t="n">
        <x:v>1044</x:v>
      </x:c>
      <x:c r="G174" s="5" t="n">
        <x:v>1664</x:v>
      </x:c>
      <x:c r="H174" s="5" t="n">
        <x:v>17</x:v>
      </x:c>
    </x:row>
    <x:row r="175">
      <x:c r="A175" t="n">
        <x:v>2017</x:v>
      </x:c>
      <x:c r="B175" t="str">
        <x:v>2017-08</x:v>
      </x:c>
      <x:c r="C175" t="str">
        <x:v>Resort Hotel</x:v>
      </x:c>
      <x:c r="D175" t="str">
        <x:v>Corporate</x:v>
      </x:c>
      <x:c r="E175" s="5" t="n">
        <x:v>15</x:v>
      </x:c>
      <x:c r="F175" s="5" t="n">
        <x:v>2</x:v>
      </x:c>
      <x:c r="G175" s="5" t="n">
        <x:v>13</x:v>
      </x:c>
      <x:c r="H175" s="5" t="n">
        <x:v>0</x:v>
      </x:c>
    </x:row>
    <x:row r="176">
      <x:c r="A176" t="n">
        <x:v>2017</x:v>
      </x:c>
      <x:c r="B176" t="str">
        <x:v>2017-08</x:v>
      </x:c>
      <x:c r="C176" t="str">
        <x:v>Resort Hotel</x:v>
      </x:c>
      <x:c r="D176" t="str">
        <x:v>Direct</x:v>
      </x:c>
      <x:c r="E176" s="5" t="n">
        <x:v>310</x:v>
      </x:c>
      <x:c r="F176" s="5" t="n">
        <x:v>61</x:v>
      </x:c>
      <x:c r="G176" s="5" t="n">
        <x:v>249</x:v>
      </x:c>
      <x:c r="H176" s="5" t="n">
        <x:v>3</x:v>
      </x:c>
    </x:row>
    <x:row r="177">
      <x:c r="A177" t="n">
        <x:v>2017</x:v>
      </x:c>
      <x:c r="B177" t="str">
        <x:v>2017-08</x:v>
      </x:c>
      <x:c r="C177" t="str">
        <x:v>Resort Hotel</x:v>
      </x:c>
      <x:c r="D177" t="str">
        <x:v>TA/TO</x:v>
      </x:c>
      <x:c r="E177" s="5" t="n">
        <x:v>1475</x:v>
      </x:c>
      <x:c r="F177" s="5" t="n">
        <x:v>630</x:v>
      </x:c>
      <x:c r="G177" s="5" t="n">
        <x:v>845</x:v>
      </x:c>
      <x:c r="H177" s="5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b60777ab69ff4b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3" t="str">
        <x:v>Metric</x:v>
      </x:c>
      <x:c r="B1" s="3" t="str">
        <x:v>Definition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 t="str">
        <x:v>Source</x:v>
      </x:c>
      <x:c r="B2" s="1" t="str">
        <x:v>Onyx Data July 2023 hotel workbook; hotel_bookings sheet.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Original study</x:v>
      </x:c>
      <x:c r="B3" s="1" t="str">
        <x:v>Antonio, de Almeida &amp; Nunes (2019), Hotel booking demand datasets.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Citation</x:v>
      </x:c>
      <x:c r="B4" s="1" t="str">
        <x:v>https://doi.org/10.1016/j.dib.2018.11.126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Source unit</x:v>
      </x:c>
      <x:c r="B5" s="1" t="str">
        <x:v>One row per historical booking; not a unique guest.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Report grain</x:v>
      </x:c>
      <x:c r="B6" s="1" t="str">
        <x:v>All source bookings aggregated by arrival month, hotel and channel.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Bookings</x:v>
      </x:c>
      <x:c r="B7" s="1" t="str">
        <x:v>Sum of booking counts for the selected arrival year and hotel.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Canceled flag</x:v>
      </x:c>
      <x:c r="B8" s="1" t="str">
        <x:v>Sum of is_canceled, including No-Show records.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Checked out</x:v>
      </x:c>
      <x:c r="B9" s="1" t="str">
        <x:v>Count of reservation_status equal to Check-Out.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Rate</x:v>
      </x:c>
      <x:c r="B10" s="1" t="str">
        <x:v>Canceled flag / bookings, calculated from counts, not averaged rates.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Coverage</x:v>
      </x:c>
      <x:c r="B11" s="1" t="str">
        <x:v>Jul 2015 to Aug 2017; partial years must not be directly compared.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Unknown channel</x:v>
      </x:c>
      <x:c r="B12" s="1" t="str">
        <x:v>The original Undefined label remains distinct; no invented mapping.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Source rows</x:v>
      </x:c>
      <x:c r="B13" s="1" t="n">
        <x:v>119390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 t="str">
        <x:v>Source cancellations</x:v>
      </x:c>
      <x:c r="B14" s="1" t="n">
        <x:v>44224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 t="str">
        <x:v>Formula check</x:v>
      </x:c>
      <x:c r="B15" s="1" t="str">
        <x:v>Report E34 and E35 reconcile channel details to the selected totals.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 t="str">
        <x:v>Power Query</x:v>
      </x:c>
      <x:c r="B16" s="1" t="str">
        <x:v>Companion .pq script is supplied separately; not embedded or executed here.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 t="str">
        <x:v>PivotTables</x:v>
      </x:c>
      <x:c r="B17" s="1" t="str">
        <x:v>Pivot setup instructions supplied; no native PivotTable is embedded.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 t="str">
        <x:v>Power BI</x:v>
      </x:c>
      <x:c r="B18" s="1" t="str">
        <x:v>Original PBIX preserved; not reopened or refreshed in Power BI Desktop.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pageMargins left="0.7" right="0.7" top="0.75" bottom="0.75" header="0.3" footer="0.3"/>
</x:worksheet>
</file>